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showInkAnnotation="0" codeName="ThisWorkbook" defaultThemeVersion="124226"/>
  <mc:AlternateContent xmlns:mc="http://schemas.openxmlformats.org/markup-compatibility/2006">
    <mc:Choice Requires="x15">
      <x15ac:absPath xmlns:x15ac="http://schemas.microsoft.com/office/spreadsheetml/2010/11/ac" url="C:\Users\emill\Documents\GitHub\thruster-line\"/>
    </mc:Choice>
  </mc:AlternateContent>
  <xr:revisionPtr revIDLastSave="0" documentId="13_ncr:1_{24926FFD-8265-42A1-9582-8580552CBC7F}" xr6:coauthVersionLast="47" xr6:coauthVersionMax="47" xr10:uidLastSave="{00000000-0000-0000-0000-000000000000}"/>
  <workbookProtection workbookAlgorithmName="SHA-512" workbookHashValue="/CxHp0wJUWbLV6aGHjfZ6utCcC2lA+aU8BngljYen+gKmqvtHTbs+ITlXXIm3OOvHH9dsYk6do3RuHATtrUTWQ==" workbookSaltValue="MDOO/shso1ePDBfbOlq2Lg==" workbookSpinCount="100000" lockStructure="1"/>
  <bookViews>
    <workbookView xWindow="38290" yWindow="-110" windowWidth="38620" windowHeight="21100" tabRatio="840" xr2:uid="{00000000-000D-0000-FFFF-FFFF00000000}"/>
  </bookViews>
  <sheets>
    <sheet name="Summary" sheetId="18" r:id="rId1"/>
    <sheet name="IMPACT BOM" sheetId="7" state="hidden" r:id="rId2"/>
    <sheet name="DataMap" sheetId="15" state="hidden" r:id="rId3"/>
    <sheet name="CALCULATIONS" sheetId="19" state="hidden" r:id="rId4"/>
    <sheet name="DEVICE UTILITY TBL" sheetId="22" state="hidden" r:id="rId5"/>
    <sheet name="BASE PARTS TBL" sheetId="20" state="hidden" r:id="rId6"/>
    <sheet name="MARGINS TBL" sheetId="26" state="hidden" r:id="rId7"/>
    <sheet name="MATERIAL TBL" sheetId="23" state="hidden" r:id="rId8"/>
    <sheet name="FINISH TBL" sheetId="24" state="hidden" r:id="rId9"/>
    <sheet name="PART TYPE TBL" sheetId="25" state="hidden" r:id="rId10"/>
    <sheet name="ADMIN" sheetId="6" state="veryHidden" r:id="rId11"/>
    <sheet name="IMPACT Change Log" sheetId="17" state="hidden" r:id="rId12"/>
    <sheet name="ImpactData Change Log" sheetId="29" state="hidden" r:id="rId13"/>
  </sheets>
  <functionGroups builtInGroupCount="19">
    <functionGroup name="Alpha Vantage"/>
    <functionGroup name="Alpha Vantage Inc. Data Add-In"/>
    <functionGroup name="Deriscope"/>
    <functionGroup name="DeriscopeXLL"/>
  </functionGroups>
  <definedNames>
    <definedName name="_5_17_2020_9_28_54_PM">'IMPACT Change Log'!$B$4:$B$7</definedName>
    <definedName name="ACTION_TYPE">ADMIN!$B$44</definedName>
    <definedName name="assembly_labor">CALCULATIONS!$B$33</definedName>
    <definedName name="base_part_list">CALCULATIONS!$B$30</definedName>
    <definedName name="base_part_margin">CALCULATIONS!$B$31</definedName>
    <definedName name="BASE_PART_NUMBER">CALCULATIONS!$B$18</definedName>
    <definedName name="BASE_PART_POSITION">CALCULATIONS!$B$17</definedName>
    <definedName name="BD_CALC_VALUE">CALCULATIONS!$E$49</definedName>
    <definedName name="BETA_FLAG">ADMIN!$B$5</definedName>
    <definedName name="CNC_cost_per_hour">CALCULATIONS!$B$38</definedName>
    <definedName name="CNC_PER_INSTANCE">CALCULATIONS!$H$11</definedName>
    <definedName name="CONTACT">ADMIN!$B$8</definedName>
    <definedName name="DEVELOPMENT_MODE">ADMIN!$B$4</definedName>
    <definedName name="device_quantity">CALCULATIONS!$B$29</definedName>
    <definedName name="DEVICE_REF_ID">CALCULATIONS!$B$13</definedName>
    <definedName name="DEVICE_TYPE">ADMIN!$B$45</definedName>
    <definedName name="Deviceutilitychanges_FLAG">'ImpactData Change Log'!$B$9</definedName>
    <definedName name="DISCOUNT">Summary!$I$9</definedName>
    <definedName name="ENABLE_STARTUPOPTIONS">ADMIN!$B$38</definedName>
    <definedName name="engineering_labor">CALCULATIONS!$B$34</definedName>
    <definedName name="FIELD_VALUE">DataMap!$C$2:$C$60</definedName>
    <definedName name="FINISH_AREA">CALCULATIONS!$A$11</definedName>
    <definedName name="finish_cost">CALCULATIONS!$B$39</definedName>
    <definedName name="FULL_PART_NUMBER">CALCULATIONS!$B$11</definedName>
    <definedName name="GL_REGISTRATION_CODE">ADMIN!$B$12</definedName>
    <definedName name="GLWEBSITE">ADMIN!$B$11</definedName>
    <definedName name="HARDWARE_FLAG">CALCULATIONS!$B$16</definedName>
    <definedName name="hardware_list">CALCULATIONS!$B$32</definedName>
    <definedName name="HD_CALC_VALUE">CALCULATIONS!$E$52</definedName>
    <definedName name="IMPACT_INSTALL_FLAG">ADMIN!$B$37</definedName>
    <definedName name="IMPACT_INSTALL_PATH">ADMIN!$B$41</definedName>
    <definedName name="IMPACT_Major_Version">'IMPACT Change Log'!$B$4</definedName>
    <definedName name="IMPACT_Minor_Version">'IMPACT Change Log'!$B$5</definedName>
    <definedName name="IMPACT_ModifiedDate">'IMPACT Change Log'!$B$4:$B$7</definedName>
    <definedName name="IMPACT_ModifiedDate_CURRENT">ADMIN!$B$28</definedName>
    <definedName name="IMPACT_ModifiedDate_LATEST">ADMIN!$B$29</definedName>
    <definedName name="IMPACT_PARAMETERS">ADMIN!$B$41:$B$48</definedName>
    <definedName name="IMPACT_REMOTE_PATH">ADMIN!$B$34</definedName>
    <definedName name="IMPACT_Revision_Number">'IMPACT Change Log'!$B$6</definedName>
    <definedName name="IMPACT_STANDARD_FULLNAME">ADMIN!$B$33</definedName>
    <definedName name="IMPACT_STANDARD_NAME">ADMIN!$B$35</definedName>
    <definedName name="IMPACT_STANDARD_PATH">ADMIN!$B$32</definedName>
    <definedName name="IMPACT_USERCOPY_FULLNAME">ADMIN!$B$42</definedName>
    <definedName name="IMPACT_USERCOPY_NAME">ADMIN!$B$43</definedName>
    <definedName name="IMPACT_Version">'IMPACT Change Log'!$B$7</definedName>
    <definedName name="IMPACT_VERSION_CURRENT">ADMIN!$B$26</definedName>
    <definedName name="IMPACT_VERSION_LATEST">ADMIN!$B$27</definedName>
    <definedName name="ImpactData_Major_Version">'ImpactData Change Log'!$B$4</definedName>
    <definedName name="ImpactData_Minor_Version">'ImpactData Change Log'!$B$5</definedName>
    <definedName name="ImpactData_ModifiedDate">'ImpactData Change Log'!$B$8</definedName>
    <definedName name="ImpactData_ModifiedDate_CURRENT">ADMIN!$B$22</definedName>
    <definedName name="ImpactData_ModifiedDate_LATEST">ADMIN!$B$23</definedName>
    <definedName name="ImpactData_Revision_Number">'ImpactData Change Log'!$B$6</definedName>
    <definedName name="ImpactData_Version">'ImpactData Change Log'!$B$7</definedName>
    <definedName name="IMPACTDATA_VERSION_CURRENT">ADMIN!$B$20</definedName>
    <definedName name="IMPACTDATA_VERSION_LATEST">ADMIN!$B$21</definedName>
    <definedName name="IN_SCOPE">DataMap!$C$3</definedName>
    <definedName name="LA_CALC_VALUE">CALCULATIONS!$E$53</definedName>
    <definedName name="LE_CALC_VALUE">CALCULATIONS!$E$54</definedName>
    <definedName name="LOCATION_FLAG">ADMIN!$B$16</definedName>
    <definedName name="LP_CALC_VALUE">CALCULATIONS!$E$55</definedName>
    <definedName name="MATERIAL_AREA">CALCULATIONS!$J$11</definedName>
    <definedName name="material_cost">CALCULATIONS!$B$40</definedName>
    <definedName name="MATERIAL_TYPE">CALCULATIONS!$I$11</definedName>
    <definedName name="MODIFY_REFERENCE_ID">ADMIN!$B$48</definedName>
    <definedName name="NEXT_REFERENCE_ID">ADMIN!$B$47</definedName>
    <definedName name="NEXT_REFERENCE_NO">ADMIN!$B$46</definedName>
    <definedName name="PART_COST">CALCULATIONS!$B$21</definedName>
    <definedName name="PART_FIRST_CHAR">CALCULATIONS!$B$15</definedName>
    <definedName name="PART_LENGTH">CALCULATIONS!$D$11</definedName>
    <definedName name="PART_PRICE">CALCULATIONS!$B$22</definedName>
    <definedName name="PART_QUANTITY">CALCULATIONS!$C$11</definedName>
    <definedName name="PART_ROW">CALCULATIONS!$B$6</definedName>
    <definedName name="PART_TYPE">CALCULATIONS!$B$19</definedName>
    <definedName name="_xlnm.Print_Area" localSheetId="1">'IMPACT BOM'!$A$1:$G$7</definedName>
    <definedName name="programming_labor">CALCULATIONS!$B$35</definedName>
    <definedName name="REFERENCE_ID">DataMap!$C$2</definedName>
    <definedName name="REGISTERED_FLAG">ADMIN!$B$15</definedName>
    <definedName name="SALESEMAIL">ADMIN!$B$10</definedName>
    <definedName name="SAVECONTACT">ADMIN!$B$9</definedName>
    <definedName name="SD_CALC_VALUE">CALCULATIONS!$E$51</definedName>
    <definedName name="SD_COST_VALUE">CALCULATIONS!$E$50</definedName>
    <definedName name="shop_cost_per_hour">CALCULATIONS!$B$36</definedName>
    <definedName name="SHOP_PER_INSTANCE">CALCULATIONS!$E$11</definedName>
    <definedName name="SHOP_PER_ITEM">CALCULATIONS!$F$11</definedName>
    <definedName name="ST_CALC_VALUE">CALCULATIONS!$E$48</definedName>
    <definedName name="TABLE_FIELD">CALCULATIONS!$B$25</definedName>
    <definedName name="WJ_cost_per_hour">CALCULATIONS!$B$37</definedName>
    <definedName name="WJ_PER_INSTANCE">CALCULATIONS!$G$11</definedName>
  </definedNames>
  <calcPr calcId="191029" iterate="1" calcOnSave="0"/>
  <customWorkbookViews>
    <customWorkbookView name="Published" guid="{BB0FBAFC-A1CA-4CC6-AD5D-F0736C4E039F}" maximized="1" windowWidth="1686" windowHeight="790" activeSheetId="2" showFormulaBar="0"/>
    <customWorkbookView name="Work" guid="{0BB8DFCD-8EDA-4425-82AE-84E4AFF564AA}" maximized="1" windowWidth="1920" windowHeight="894"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4" i="18" l="1"/>
  <c r="I5" i="18"/>
  <c r="I6" i="18"/>
  <c r="I7" i="18"/>
  <c r="H4" i="18"/>
  <c r="H5" i="18"/>
  <c r="H6" i="18"/>
  <c r="H7" i="18"/>
  <c r="G8" i="18"/>
  <c r="T8" i="18"/>
  <c r="U8" i="18"/>
  <c r="B6" i="17" l="1"/>
  <c r="B6" i="29"/>
  <c r="B7" i="29" s="1"/>
  <c r="AZ8" i="18" l="1"/>
  <c r="B13" i="19" l="1"/>
  <c r="B29" i="19" s="1"/>
  <c r="AY8" i="18" l="1"/>
  <c r="AX8" i="18"/>
  <c r="BA8" i="18" l="1"/>
  <c r="J11" i="19"/>
  <c r="I11" i="19"/>
  <c r="B40" i="19" s="1"/>
  <c r="H11" i="19"/>
  <c r="G11" i="19"/>
  <c r="F11" i="19"/>
  <c r="E11" i="19"/>
  <c r="D11" i="19"/>
  <c r="C11" i="19"/>
  <c r="B11" i="19"/>
  <c r="B17" i="19" s="1"/>
  <c r="B18" i="19" s="1"/>
  <c r="B30" i="19" s="1"/>
  <c r="A11" i="19"/>
  <c r="B32" i="19"/>
  <c r="B33" i="19"/>
  <c r="B34" i="19"/>
  <c r="B35" i="19"/>
  <c r="B36" i="19"/>
  <c r="B37" i="19"/>
  <c r="B38" i="19"/>
  <c r="B15" i="19" l="1"/>
  <c r="B16" i="19" s="1"/>
  <c r="B19" i="19" s="1"/>
  <c r="E55" i="19"/>
  <c r="E54" i="19"/>
  <c r="E53" i="19"/>
  <c r="E52" i="19"/>
  <c r="E48" i="19"/>
  <c r="B39" i="19"/>
  <c r="E50" i="19" s="1"/>
  <c r="B31" i="19"/>
  <c r="I8" i="18"/>
  <c r="I10" i="18" s="1"/>
  <c r="D1" i="18"/>
  <c r="E51" i="19" l="1"/>
  <c r="C49" i="19"/>
  <c r="C51" i="19"/>
  <c r="C52" i="19"/>
  <c r="C55" i="19"/>
  <c r="C48" i="19"/>
  <c r="C53" i="19"/>
  <c r="C50" i="19"/>
  <c r="C54" i="19"/>
  <c r="E49" i="19"/>
  <c r="B7" i="17"/>
  <c r="H1" i="18" s="1"/>
  <c r="B27"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Janet</author>
    <author>ExcelatOne LLC - Tony Cerrone</author>
  </authors>
  <commentList>
    <comment ref="A17" authorId="0" shapeId="0" xr:uid="{00000000-0006-0000-0300-000001000000}">
      <text>
        <r>
          <rPr>
            <b/>
            <sz val="9"/>
            <color indexed="81"/>
            <rFont val="Tahoma"/>
            <family val="2"/>
          </rPr>
          <t xml:space="preserve">IF ERROR, then either BASE PART without additional parameters or a PART TYPE WITHOUT A PART NUMBER that STARTS with the letter "P"
</t>
        </r>
        <r>
          <rPr>
            <sz val="9"/>
            <color indexed="81"/>
            <rFont val="Tahoma"/>
            <family val="2"/>
          </rPr>
          <t xml:space="preserve">
</t>
        </r>
      </text>
    </comment>
    <comment ref="A18" authorId="0" shapeId="0" xr:uid="{00000000-0006-0000-0300-000002000000}">
      <text>
        <r>
          <rPr>
            <b/>
            <sz val="9"/>
            <color indexed="81"/>
            <rFont val="Tahoma"/>
            <family val="2"/>
          </rPr>
          <t xml:space="preserve">PART TYPES BD &amp; SD ONLY?  DO "ST" Parts ever have anything other than a "Base Part Number"?
Formula to find Part Number (all characters to the left of the second hyphen)
</t>
        </r>
        <r>
          <rPr>
            <sz val="9"/>
            <color indexed="81"/>
            <rFont val="Tahoma"/>
            <family val="2"/>
          </rPr>
          <t xml:space="preserve">
</t>
        </r>
      </text>
    </comment>
    <comment ref="C47" authorId="1" shapeId="0" xr:uid="{00000000-0006-0000-0300-000003000000}">
      <text>
        <r>
          <rPr>
            <b/>
            <sz val="9"/>
            <color indexed="81"/>
            <rFont val="Tahoma"/>
            <family val="2"/>
          </rPr>
          <t>FUTURE USE.. CONCEPT is to add in "IF" statement to the beginning of each PART TYPE FORMULA that will PREVENT the FORMULA from CALULATING if the current PART TYPE doesn't match the current part record.  May be needed to improve calculation speed/performance</t>
        </r>
      </text>
    </comment>
    <comment ref="C83" authorId="0" shapeId="0" xr:uid="{00000000-0006-0000-0300-000004000000}">
      <text>
        <r>
          <rPr>
            <b/>
            <sz val="9"/>
            <color indexed="81"/>
            <rFont val="Tahoma"/>
            <family val="2"/>
          </rPr>
          <t>PART QUANTITY REQUIRED FOR 1 DEVICE</t>
        </r>
        <r>
          <rPr>
            <sz val="9"/>
            <color indexed="81"/>
            <rFont val="Tahoma"/>
            <family val="2"/>
          </rPr>
          <t xml:space="preserve">
</t>
        </r>
      </text>
    </comment>
    <comment ref="A90" authorId="1" shapeId="0" xr:uid="{00000000-0006-0000-0300-000005000000}">
      <text>
        <r>
          <rPr>
            <b/>
            <sz val="9"/>
            <color indexed="81"/>
            <rFont val="Tahoma"/>
            <family val="2"/>
          </rPr>
          <t>*If custom programming needs a specific hourly rate applied.</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A00-000001000000}">
      <text>
        <r>
          <rPr>
            <b/>
            <sz val="9"/>
            <color indexed="81"/>
            <rFont val="Tahoma"/>
            <family val="2"/>
          </rPr>
          <t xml:space="preserve">This must be SET TO "FALSE" in PRODUCTION /PUBLISHED VERSION.
SET to "TRUE" while in DEVELOPMENT phases.
</t>
        </r>
        <r>
          <rPr>
            <sz val="9"/>
            <color indexed="81"/>
            <rFont val="Tahoma"/>
            <family val="2"/>
          </rPr>
          <t xml:space="preserve">
</t>
        </r>
      </text>
    </comment>
    <comment ref="B37" authorId="0" shapeId="0" xr:uid="{00000000-0006-0000-0A00-000002000000}">
      <text>
        <r>
          <rPr>
            <b/>
            <sz val="9"/>
            <color indexed="81"/>
            <rFont val="Tahoma"/>
            <family val="2"/>
          </rPr>
          <t xml:space="preserve">THIS SHOULD BE SET TO "FALSE" in PRODUCTION.
USED by  "SaveUserMasterCopy" routine which was disabled in v1.0.1083.  
</t>
        </r>
        <r>
          <rPr>
            <sz val="9"/>
            <color indexed="81"/>
            <rFont val="Tahoma"/>
            <family val="2"/>
          </rPr>
          <t xml:space="preserve">
</t>
        </r>
      </text>
    </comment>
    <comment ref="B38" authorId="0" shapeId="0" xr:uid="{00000000-0006-0000-0A00-000003000000}">
      <text>
        <r>
          <rPr>
            <b/>
            <sz val="9"/>
            <color indexed="81"/>
            <rFont val="Tahoma"/>
            <family val="2"/>
          </rPr>
          <t>This flag is used to determine whether or not to display the "SPLASH" opening form or to update the Device Utility Table.  The initial/default value is TRUE.  It is set to FALSE in code in GET_DEVICE_UTLITY routine.  Reset to TRUE when IMPACT workbook is SAVED after return from Utility or manually by the USER.</t>
        </r>
        <r>
          <rPr>
            <sz val="9"/>
            <color indexed="81"/>
            <rFont val="Tahoma"/>
            <family val="2"/>
          </rPr>
          <t xml:space="preserve">
</t>
        </r>
      </text>
    </comment>
    <comment ref="B42" authorId="0" shapeId="0" xr:uid="{00000000-0006-0000-0A00-000004000000}">
      <text>
        <r>
          <rPr>
            <b/>
            <sz val="9"/>
            <color indexed="81"/>
            <rFont val="Tahoma"/>
            <family val="2"/>
          </rPr>
          <t xml:space="preserve">This FILENAME (AND PATH) needs to be ENTERED MANUALLY for TESTING.  MUST BE the name of your IMPACT DEVELOPMENT WORKBOOK NAME
</t>
        </r>
      </text>
    </comment>
    <comment ref="B43" authorId="0" shapeId="0" xr:uid="{00000000-0006-0000-0A00-000005000000}">
      <text>
        <r>
          <rPr>
            <b/>
            <sz val="9"/>
            <color indexed="81"/>
            <rFont val="Tahoma"/>
            <family val="2"/>
          </rPr>
          <t xml:space="preserve">This is the JUST THE FILENAME OF your IMPACT DEVELOPMENT workbook WITHOUT THE PATH and must be entered manually.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Anthony Cerrone</author>
  </authors>
  <commentList>
    <comment ref="B6" authorId="0" shapeId="0" xr:uid="{00000000-0006-0000-0B00-000001000000}">
      <text>
        <r>
          <rPr>
            <b/>
            <sz val="9"/>
            <color indexed="81"/>
            <rFont val="Tahoma"/>
            <family val="2"/>
          </rPr>
          <t xml:space="preserve">This value is a formula to get the next REVISION Number from the Revision Number Field in the TABLE.  DO NOT MANUALLY CHANGE
</t>
        </r>
        <r>
          <rPr>
            <sz val="9"/>
            <color indexed="81"/>
            <rFont val="Tahoma"/>
            <family val="2"/>
          </rPr>
          <t xml:space="preserve">
</t>
        </r>
      </text>
    </comment>
  </commentList>
</comments>
</file>

<file path=xl/sharedStrings.xml><?xml version="1.0" encoding="utf-8"?>
<sst xmlns="http://schemas.openxmlformats.org/spreadsheetml/2006/main" count="5058" uniqueCount="2291">
  <si>
    <t>DESCRIPTION</t>
  </si>
  <si>
    <t>EXTENDED</t>
  </si>
  <si>
    <t>LIST PRICE</t>
  </si>
  <si>
    <t>QTY</t>
  </si>
  <si>
    <t>TOTAL</t>
  </si>
  <si>
    <t>Saved contact info</t>
  </si>
  <si>
    <t>Choose to save info</t>
  </si>
  <si>
    <t>Sales email address</t>
  </si>
  <si>
    <t>GL website address</t>
  </si>
  <si>
    <t>http://www.glide-line.com</t>
  </si>
  <si>
    <t>http://www.glide-line.com/downloads/</t>
  </si>
  <si>
    <t>FIELD_VALUE</t>
  </si>
  <si>
    <t>IMPACT_INSTALL_FLAG</t>
  </si>
  <si>
    <t>IMPACT_INSTALL_PATH</t>
  </si>
  <si>
    <t>IMPACT_USERCOPY_FULLNAME</t>
  </si>
  <si>
    <t>REFERENCE_ID</t>
  </si>
  <si>
    <t>IN SCOPE</t>
  </si>
  <si>
    <t>Current IMPACT version number</t>
  </si>
  <si>
    <t>IMPACT_STANDARD_NAME</t>
  </si>
  <si>
    <t>Standard Filename for the IMPACT Application</t>
  </si>
  <si>
    <t>IN_SCOPE</t>
  </si>
  <si>
    <t>IMPACT_USERCOPY_NAME</t>
  </si>
  <si>
    <t>Workbook name only without path</t>
  </si>
  <si>
    <t>CHANGE LOG</t>
  </si>
  <si>
    <t>Date</t>
  </si>
  <si>
    <t>Description</t>
  </si>
  <si>
    <t>NEXT_REFERENCE_NO</t>
  </si>
  <si>
    <t>ACTION_TYPE</t>
  </si>
  <si>
    <t>NEXT_REFERENCE_ID</t>
  </si>
  <si>
    <t>MODIFY_REFERENCE_ID</t>
  </si>
  <si>
    <t>BILL OF MATERIAL</t>
  </si>
  <si>
    <t>DATA01</t>
  </si>
  <si>
    <t>DATA02</t>
  </si>
  <si>
    <t>DATA03</t>
  </si>
  <si>
    <t>DATA04</t>
  </si>
  <si>
    <t>DATA05</t>
  </si>
  <si>
    <t>DATA06</t>
  </si>
  <si>
    <t>DATA07</t>
  </si>
  <si>
    <t>DATA08</t>
  </si>
  <si>
    <t>DATA09</t>
  </si>
  <si>
    <t>DATA10</t>
  </si>
  <si>
    <t>DATA11</t>
  </si>
  <si>
    <t>DATA12</t>
  </si>
  <si>
    <t>DATA13</t>
  </si>
  <si>
    <t>DATA14</t>
  </si>
  <si>
    <t>DATA15</t>
  </si>
  <si>
    <t>DATA16</t>
  </si>
  <si>
    <t>DATA17</t>
  </si>
  <si>
    <t>DATA18</t>
  </si>
  <si>
    <t>DATA19</t>
  </si>
  <si>
    <t>DATA20</t>
  </si>
  <si>
    <t>DATA21</t>
  </si>
  <si>
    <t>DATA22</t>
  </si>
  <si>
    <t>DATA23</t>
  </si>
  <si>
    <t>DATA24</t>
  </si>
  <si>
    <t>DATA25</t>
  </si>
  <si>
    <t>DATA26</t>
  </si>
  <si>
    <t>DATA27</t>
  </si>
  <si>
    <t>DATA28</t>
  </si>
  <si>
    <t>DATA29</t>
  </si>
  <si>
    <t>DATA30</t>
  </si>
  <si>
    <t>DATA31</t>
  </si>
  <si>
    <t>DATA32</t>
  </si>
  <si>
    <t>DATA33</t>
  </si>
  <si>
    <t>DATA34</t>
  </si>
  <si>
    <t>DATA35</t>
  </si>
  <si>
    <t>DATA36</t>
  </si>
  <si>
    <t>DATA37</t>
  </si>
  <si>
    <t>DATA38</t>
  </si>
  <si>
    <t>DATA39</t>
  </si>
  <si>
    <t>DATA40</t>
  </si>
  <si>
    <t>DATA41</t>
  </si>
  <si>
    <t>DATA42</t>
  </si>
  <si>
    <t>DATA43</t>
  </si>
  <si>
    <t>DATA44</t>
  </si>
  <si>
    <t>DATA45</t>
  </si>
  <si>
    <t>DATA46</t>
  </si>
  <si>
    <t>DATA47</t>
  </si>
  <si>
    <t>DATA48</t>
  </si>
  <si>
    <t>DATA49</t>
  </si>
  <si>
    <t>DATA50</t>
  </si>
  <si>
    <t>SUMMARY</t>
  </si>
  <si>
    <t>YELLOW</t>
  </si>
  <si>
    <r>
      <t xml:space="preserve">Prices are all shown at </t>
    </r>
    <r>
      <rPr>
        <b/>
        <sz val="11"/>
        <color theme="1"/>
        <rFont val="Calibri"/>
        <family val="2"/>
        <scheme val="minor"/>
      </rPr>
      <t>LIST</t>
    </r>
    <r>
      <rPr>
        <sz val="11"/>
        <color theme="1"/>
        <rFont val="Calibri"/>
        <family val="2"/>
        <scheme val="minor"/>
      </rPr>
      <t>. Contact sales for your company discount.</t>
    </r>
  </si>
  <si>
    <t>USER INSTRUCTIONS</t>
  </si>
  <si>
    <t>In utilizing the IMPACT Tool, customer bears responsibility to make sure they are using the latest version.
Please check the following URL to be sure you have the latest version.</t>
  </si>
  <si>
    <t>NCC Glide-Line IMPACT Application</t>
  </si>
  <si>
    <r>
      <t>Click on "</t>
    </r>
    <r>
      <rPr>
        <b/>
        <sz val="11"/>
        <color theme="1"/>
        <rFont val="Calibri"/>
        <family val="2"/>
        <scheme val="minor"/>
      </rPr>
      <t>ADD NEW DEVICE</t>
    </r>
    <r>
      <rPr>
        <sz val="11"/>
        <color theme="1"/>
        <rFont val="Calibri"/>
        <family val="2"/>
        <scheme val="minor"/>
      </rPr>
      <t>" button to add and configure a new Glide-Line device.</t>
    </r>
  </si>
  <si>
    <t>DEVICE_TYPE</t>
  </si>
  <si>
    <t>DEVICE_UTILITY_Table</t>
  </si>
  <si>
    <t>SUMMARY_TABLE_FIELDNAME</t>
  </si>
  <si>
    <t>UTILITY_SOURCE_RANGENAME</t>
  </si>
  <si>
    <t>IMPACT_BOM_Table</t>
  </si>
  <si>
    <t>REFERENCE ID</t>
  </si>
  <si>
    <t>This must be '0000 to start and then incremented for each new device</t>
  </si>
  <si>
    <t>Reference ID= DEVICE UTILITY PREFIX + "_" + "NEXT_REFERENCE_NO"</t>
  </si>
  <si>
    <t>Used by MODIFY device routine</t>
  </si>
  <si>
    <t>Stores the user  selected action (ADD, COPY, MODIFY, DELETE)</t>
  </si>
  <si>
    <t>DEVICE PREFIX used to create the UTILITY workbook filename</t>
  </si>
  <si>
    <t>DEVELOPMENT_MODE</t>
  </si>
  <si>
    <t>IMPACT ADMIN INFO</t>
  </si>
  <si>
    <t>GLIDE-LINE IMPACT APPLICATION VARIABLES and TABLES</t>
  </si>
  <si>
    <t>RANGE NAME</t>
  </si>
  <si>
    <t>CONTACT</t>
  </si>
  <si>
    <t>SAVECONTACT</t>
  </si>
  <si>
    <t>SALESEMAIL</t>
  </si>
  <si>
    <t>GLWEBSITE</t>
  </si>
  <si>
    <t>USER DESCRIPTION</t>
  </si>
  <si>
    <t>WARNING FLAG</t>
  </si>
  <si>
    <t>USER_DESCRIPTION</t>
  </si>
  <si>
    <t>LIST_PRICE</t>
  </si>
  <si>
    <t>WARNING_FLAG</t>
  </si>
  <si>
    <t>Count</t>
  </si>
  <si>
    <t>Level</t>
  </si>
  <si>
    <t>REVISION</t>
  </si>
  <si>
    <t>UNIT</t>
  </si>
  <si>
    <t>SOURCE</t>
  </si>
  <si>
    <t>CATEGORY</t>
  </si>
  <si>
    <t>PARENT</t>
  </si>
  <si>
    <t>SEQUENCE</t>
  </si>
  <si>
    <t>PARTNO</t>
  </si>
  <si>
    <t>DATA FIELDS - GLOBAL SHOP ERP XML FILE</t>
  </si>
  <si>
    <t>IMPACT_STANDARD_PATH</t>
  </si>
  <si>
    <t>IMPACT_STANDARD_FULLNAME</t>
  </si>
  <si>
    <t>C:\Glide-Line\Glide-Line IMPACT.xlsm</t>
  </si>
  <si>
    <t>Glide-Line IMPACT.xlsm</t>
  </si>
  <si>
    <t>Standard Fullname (PATH+NAME) for IMPACT Application</t>
  </si>
  <si>
    <t>PART NUMBER</t>
  </si>
  <si>
    <t>GLT</t>
  </si>
  <si>
    <t>Used by "SaveUserMasterCopy" routine which is disabled as of v1.0.1083</t>
  </si>
  <si>
    <r>
      <rPr>
        <b/>
        <sz val="11"/>
        <color theme="1"/>
        <rFont val="Calibri"/>
        <family val="2"/>
        <scheme val="minor"/>
      </rPr>
      <t>DOUBLE-CLICK</t>
    </r>
    <r>
      <rPr>
        <sz val="11"/>
        <color theme="1"/>
        <rFont val="Calibri"/>
        <family val="2"/>
        <scheme val="minor"/>
      </rPr>
      <t xml:space="preserve">  on any cell in "</t>
    </r>
    <r>
      <rPr>
        <b/>
        <sz val="11"/>
        <color theme="1"/>
        <rFont val="Calibri"/>
        <family val="2"/>
        <scheme val="minor"/>
      </rPr>
      <t>IN SCOPE</t>
    </r>
    <r>
      <rPr>
        <sz val="11"/>
        <color theme="1"/>
        <rFont val="Calibri"/>
        <family val="2"/>
        <scheme val="minor"/>
      </rPr>
      <t>" field to change the value from "</t>
    </r>
    <r>
      <rPr>
        <b/>
        <sz val="11"/>
        <color theme="1"/>
        <rFont val="Calibri"/>
        <family val="2"/>
        <scheme val="minor"/>
      </rPr>
      <t>YES</t>
    </r>
    <r>
      <rPr>
        <sz val="11"/>
        <color theme="1"/>
        <rFont val="Calibri"/>
        <family val="2"/>
        <scheme val="minor"/>
      </rPr>
      <t>" to "</t>
    </r>
    <r>
      <rPr>
        <b/>
        <sz val="11"/>
        <color theme="1"/>
        <rFont val="Calibri"/>
        <family val="2"/>
        <scheme val="minor"/>
      </rPr>
      <t>NO</t>
    </r>
    <r>
      <rPr>
        <sz val="11"/>
        <color theme="1"/>
        <rFont val="Calibri"/>
        <family val="2"/>
        <scheme val="minor"/>
      </rPr>
      <t>" or back to "</t>
    </r>
    <r>
      <rPr>
        <b/>
        <sz val="11"/>
        <color theme="1"/>
        <rFont val="Calibri"/>
        <family val="2"/>
        <scheme val="minor"/>
      </rPr>
      <t>YES</t>
    </r>
    <r>
      <rPr>
        <sz val="11"/>
        <color theme="1"/>
        <rFont val="Calibri"/>
        <family val="2"/>
        <scheme val="minor"/>
      </rPr>
      <t>" again.</t>
    </r>
  </si>
  <si>
    <r>
      <rPr>
        <b/>
        <sz val="11"/>
        <color theme="1"/>
        <rFont val="Calibri"/>
        <family val="2"/>
        <scheme val="minor"/>
      </rPr>
      <t>DOUBLE-CLICK</t>
    </r>
    <r>
      <rPr>
        <sz val="11"/>
        <color theme="1"/>
        <rFont val="Calibri"/>
        <family val="2"/>
        <scheme val="minor"/>
      </rPr>
      <t xml:space="preserve">  cell for any existing device (</t>
    </r>
    <r>
      <rPr>
        <b/>
        <sz val="11"/>
        <color theme="1"/>
        <rFont val="Calibri"/>
        <family val="2"/>
        <scheme val="minor"/>
      </rPr>
      <t>EXCEPT "IN SCOPE"</t>
    </r>
    <r>
      <rPr>
        <sz val="11"/>
        <color theme="1"/>
        <rFont val="Calibri"/>
        <family val="2"/>
        <scheme val="minor"/>
      </rPr>
      <t xml:space="preserve">)  to </t>
    </r>
    <r>
      <rPr>
        <b/>
        <sz val="11"/>
        <color theme="1"/>
        <rFont val="Calibri"/>
        <family val="2"/>
        <scheme val="minor"/>
      </rPr>
      <t>MODIFY, COPY, or DELETE</t>
    </r>
    <r>
      <rPr>
        <sz val="11"/>
        <color theme="1"/>
        <rFont val="Calibri"/>
        <family val="2"/>
        <scheme val="minor"/>
      </rPr>
      <t xml:space="preserve"> it's configuration.</t>
    </r>
  </si>
  <si>
    <t>highlighted "REFERENCE ID" indicates there is a Warning Message for the device.  Click to display message.</t>
  </si>
  <si>
    <t>YES/NO</t>
  </si>
  <si>
    <t>GREEN</t>
  </si>
  <si>
    <t>highlighted "REFERENCE ID" indicates that the device is synchronized with SolidWorks.</t>
  </si>
  <si>
    <t>ENABLE_STARTUPOPTIONS</t>
  </si>
  <si>
    <t>COST</t>
  </si>
  <si>
    <t>UNIT COST</t>
  </si>
  <si>
    <t>EXTENDED COST</t>
  </si>
  <si>
    <t>MARGIN</t>
  </si>
  <si>
    <t>LP</t>
  </si>
  <si>
    <t>LE</t>
  </si>
  <si>
    <t>LA</t>
  </si>
  <si>
    <t>M8 X 25 SHCS</t>
  </si>
  <si>
    <t>TJ 1/2</t>
  </si>
  <si>
    <t>P-00016-0000-0000</t>
  </si>
  <si>
    <t>P-00013-0000</t>
  </si>
  <si>
    <t>P-00010</t>
  </si>
  <si>
    <r>
      <t>Material area ft</t>
    </r>
    <r>
      <rPr>
        <b/>
        <vertAlign val="superscript"/>
        <sz val="12"/>
        <rFont val="Calibri"/>
        <family val="2"/>
        <scheme val="minor"/>
      </rPr>
      <t>2</t>
    </r>
  </si>
  <si>
    <t>Material</t>
  </si>
  <si>
    <t>CNC per instance</t>
  </si>
  <si>
    <t>WJ per instance</t>
  </si>
  <si>
    <t>Shop per item</t>
  </si>
  <si>
    <t>Shop per instance</t>
  </si>
  <si>
    <t>Part Length</t>
  </si>
  <si>
    <t>Part Quantity</t>
  </si>
  <si>
    <t>Full part number</t>
  </si>
  <si>
    <t>FINISH AREA</t>
  </si>
  <si>
    <t>SAMPLE DATA</t>
  </si>
  <si>
    <t>Codes should be used in the material labor and finish tables to hide what they mean.</t>
  </si>
  <si>
    <t>5-</t>
  </si>
  <si>
    <t>If part cost column is present in summary workbook, allow user to toggle between cost and list numbers on the Summary table. Substitute cost for list in the formulas above. Do not multiply SD by base part margin when toggled to cost.  In addition, if cost column is not present, do not multiply SD by base part margin.</t>
  </si>
  <si>
    <t>4-</t>
  </si>
  <si>
    <t>Base part number is everything to the left of the second hyphen of the full part number. This applies to B and SD parts only.</t>
  </si>
  <si>
    <t>3-</t>
  </si>
  <si>
    <t>These formulas are used to calculate dollar amounts for one device unit.</t>
  </si>
  <si>
    <t>2-</t>
  </si>
  <si>
    <t>Device quantity comes from the requested number of devices listed in the summary table.</t>
  </si>
  <si>
    <t>1-</t>
  </si>
  <si>
    <t>Programming Labor</t>
  </si>
  <si>
    <t>Engineering Labor</t>
  </si>
  <si>
    <t>Assembly Labor</t>
  </si>
  <si>
    <t>Hardware</t>
  </si>
  <si>
    <t>HD</t>
  </si>
  <si>
    <t>Size Dependent</t>
  </si>
  <si>
    <t>SD</t>
  </si>
  <si>
    <t>BOM Defined</t>
  </si>
  <si>
    <t>BD</t>
  </si>
  <si>
    <t>Standard</t>
  </si>
  <si>
    <t>ST</t>
  </si>
  <si>
    <t>Part Types</t>
  </si>
  <si>
    <t>INFORMATION/INSTRUCTIONS</t>
  </si>
  <si>
    <t>programming_labor * Part_Quantity</t>
  </si>
  <si>
    <t>programming labor * quantity</t>
  </si>
  <si>
    <t>LP_CALC_VALUE</t>
  </si>
  <si>
    <t>engineering_labor * Part_Quantity</t>
  </si>
  <si>
    <t>engineering labor * quantity</t>
  </si>
  <si>
    <t>LE_CALC_VALUE</t>
  </si>
  <si>
    <t>assembly_labor * Part_Quantity</t>
  </si>
  <si>
    <t>assembly labor * quantity</t>
  </si>
  <si>
    <t>LA_CALC_VALUE</t>
  </si>
  <si>
    <t>hardware_list * Part_Quantity</t>
  </si>
  <si>
    <t>hardware list * quantity</t>
  </si>
  <si>
    <t>HD_CALC_VALUE</t>
  </si>
  <si>
    <t>(((material cost * material area * quantity) + (shop cost per hour * shop per instance * quantity) +  (WJ cost per hour * WJ per instance * quantity) + (CNC cost per hour * CNC per instance * quantity) + (finish cost * material area * quantity)) + ((shop cost per hour * shop per item) / device quantity)) * base part margin</t>
  </si>
  <si>
    <t>SD_CALC_VALUE</t>
  </si>
  <si>
    <t>((base_part_list * Part_Length * Part_Quantity) + (shop_cost_per_hour * shop_per_instance * Part_Quantity) + (finish_cost * material_area * Part_Quantity)) + ((shop_cost_per_hour * shop_per_item) / device_quantity)</t>
  </si>
  <si>
    <r>
      <t>((base part list * length * quantity) + (shop cost per hour * shop per instance * quantity) + (finish cost * material area * quantity)) + ((shop cost per hour * shop per item)</t>
    </r>
    <r>
      <rPr>
        <b/>
        <sz val="12"/>
        <color rgb="FFFF0000"/>
        <rFont val="Calibri"/>
        <family val="2"/>
        <scheme val="minor"/>
      </rPr>
      <t xml:space="preserve"> / device quantity)</t>
    </r>
  </si>
  <si>
    <t>BD_CALC_VALUE</t>
  </si>
  <si>
    <t>((base_part_list * Part_Quantity) + (shop_cost_per_hour * shop_per_instance * Part_Quantity)) + ((shop_cost_per_hour * shop_per_item) / device_quantity)</t>
  </si>
  <si>
    <r>
      <t xml:space="preserve">((base part list * </t>
    </r>
    <r>
      <rPr>
        <b/>
        <sz val="12"/>
        <color rgb="FFFF0000"/>
        <rFont val="Calibri"/>
        <family val="2"/>
        <scheme val="minor"/>
      </rPr>
      <t>quantity</t>
    </r>
    <r>
      <rPr>
        <sz val="12"/>
        <color theme="1"/>
        <rFont val="Calibri"/>
        <family val="2"/>
        <scheme val="minor"/>
      </rPr>
      <t>) + (shop cost per hour * shop per instance * quantity)) + ((shop cost per hour * shop per item)</t>
    </r>
    <r>
      <rPr>
        <b/>
        <sz val="12"/>
        <color rgb="FFFF0000"/>
        <rFont val="Calibri"/>
        <family val="2"/>
        <scheme val="minor"/>
      </rPr>
      <t xml:space="preserve"> / device quantity)</t>
    </r>
  </si>
  <si>
    <t>ST_CALC_VALUE</t>
  </si>
  <si>
    <t>PART TYPE FORMULA - TEXT VERSION with NAMED RANGES for Variables</t>
  </si>
  <si>
    <t>ORIGINAL PART TYPE FORMULA (ORIGINAL TEXT VERSION)</t>
  </si>
  <si>
    <t>Part type</t>
  </si>
  <si>
    <t>PART TYPE FORMULA</t>
  </si>
  <si>
    <t>PART_TYPE_RANGENAME</t>
  </si>
  <si>
    <t>Current Part Type</t>
  </si>
  <si>
    <t>PART TYPE COST/PRICE FORMULAS (TEXT)</t>
  </si>
  <si>
    <t>PART COST/PRICE CALCULATION TEMPLATE FORMULAS BY PART TYPE</t>
  </si>
  <si>
    <t>MATERIAL TABLE</t>
  </si>
  <si>
    <t>material_cost</t>
  </si>
  <si>
    <t>FINISH TABLE</t>
  </si>
  <si>
    <t>finish_cost</t>
  </si>
  <si>
    <t>BASE PARTS TABLE</t>
  </si>
  <si>
    <t>CN</t>
  </si>
  <si>
    <t>CNC_cost_per_hour</t>
  </si>
  <si>
    <t>WJ</t>
  </si>
  <si>
    <t>WJ_cost_per_hour</t>
  </si>
  <si>
    <t>LS</t>
  </si>
  <si>
    <t>shop_cost_per_hour</t>
  </si>
  <si>
    <t>programming labor</t>
  </si>
  <si>
    <t>engineering_labor</t>
  </si>
  <si>
    <t>assembly_labor</t>
  </si>
  <si>
    <t>hardware_list</t>
  </si>
  <si>
    <t>base_part_margin</t>
  </si>
  <si>
    <t>base_part_list</t>
  </si>
  <si>
    <t>IMPACT SUMMARY TABLE</t>
  </si>
  <si>
    <t>device_quantity</t>
  </si>
  <si>
    <t>SOURCE TABLE</t>
  </si>
  <si>
    <t>LOOKUP Code (HW/Labor)</t>
  </si>
  <si>
    <t>VARIABLE VALUE</t>
  </si>
  <si>
    <t>VARIABLE RANGE NAMES</t>
  </si>
  <si>
    <t>FORMULA VARIABLES</t>
  </si>
  <si>
    <t>COST FIELD NUMBER=8, LIST PRICE FIELD NUMBER = 10</t>
  </si>
  <si>
    <t>TABLE_FIELD</t>
  </si>
  <si>
    <t>PART_PRICE</t>
  </si>
  <si>
    <t>PART_COST</t>
  </si>
  <si>
    <t>PART_TYPE</t>
  </si>
  <si>
    <t>BASE_PART_NUMBER</t>
  </si>
  <si>
    <t>Position of 2nd Hypen in FULL_PART_NUMBER</t>
  </si>
  <si>
    <t>BASE_PART_POSITION</t>
  </si>
  <si>
    <r>
      <t xml:space="preserve">IF FIRST Character in FULL_PART_NUMBER is </t>
    </r>
    <r>
      <rPr>
        <b/>
        <sz val="16"/>
        <color rgb="FFFF0000"/>
        <rFont val="Calibri"/>
        <family val="2"/>
        <scheme val="minor"/>
      </rPr>
      <t>NOT</t>
    </r>
    <r>
      <rPr>
        <b/>
        <sz val="11"/>
        <color theme="1"/>
        <rFont val="Calibri"/>
        <family val="2"/>
        <scheme val="minor"/>
      </rPr>
      <t xml:space="preserve"> P,L,A, or G, then PART is HARDWARE</t>
    </r>
  </si>
  <si>
    <t>HARDWARE_FLAG</t>
  </si>
  <si>
    <t>FIRST Character in FULL_PART_NUMBER.</t>
  </si>
  <si>
    <t>PART_FIRST_CHAR</t>
  </si>
  <si>
    <t>MATERIAL_AREA</t>
  </si>
  <si>
    <t>MATERIAL_TYPE</t>
  </si>
  <si>
    <t>CNC_PER_INSTANCE</t>
  </si>
  <si>
    <t>WJ_PER_INSTANCE</t>
  </si>
  <si>
    <t>SHOP_PER_ITEM</t>
  </si>
  <si>
    <t>SHOP_PER_INSTANCE</t>
  </si>
  <si>
    <t>PART_LENGTH</t>
  </si>
  <si>
    <t>PART_QUANTITY</t>
  </si>
  <si>
    <t>FULL_PART_NUMBER</t>
  </si>
  <si>
    <t>FINISH_AREA</t>
  </si>
  <si>
    <t>FORMULA INPUTS - FROM IMPACT BOM TABLE</t>
  </si>
  <si>
    <t>PART_ROW</t>
  </si>
  <si>
    <t>Loop through IMPACT_BOM TABLE  of PARTS 1 row at a time and calculate LIST PRICE or COST using formula method defined for the PART TYPE</t>
  </si>
  <si>
    <t>PROCESS EXPLANATION</t>
  </si>
  <si>
    <t>PART COST/PRICE CALCULATIONS</t>
  </si>
  <si>
    <t>Margin</t>
  </si>
  <si>
    <t>Cost</t>
  </si>
  <si>
    <t>Category</t>
  </si>
  <si>
    <t>Source</t>
  </si>
  <si>
    <t>Finish</t>
  </si>
  <si>
    <t>Rev</t>
  </si>
  <si>
    <t>BASE_PARTS_TABLE</t>
  </si>
  <si>
    <t>DEVICE_REF_ID</t>
  </si>
  <si>
    <t>SD_COST_VALUE</t>
  </si>
  <si>
    <t>Size Dependent COST</t>
  </si>
  <si>
    <t>Size Dependent SELL PRICE</t>
  </si>
  <si>
    <t>Shop_PER_INSTANCE</t>
  </si>
  <si>
    <t>MATERIAL</t>
  </si>
  <si>
    <t>MATERIAL_AREA_FT2</t>
  </si>
  <si>
    <t>RE-PURPOSED PRICE VAR FIELDS</t>
  </si>
  <si>
    <t>SELL PRICE</t>
  </si>
  <si>
    <t>(((material_cost * material_area * Part_Quantity) + (shop_cost_per_hour * shop_per_instance * Part_Quantity) +  (WJ_cost_per_hour * WJ_per_instance * Part_Quantity) + (CNC_cost_per_hour * CNC_per_instance * Part_Quantity) + (finish_cost * material_area * Part_Quantity)) + ((shop_cost_per_hour * shop_per_item) / device_quantity))</t>
  </si>
  <si>
    <t>Size Dependent VALUE</t>
  </si>
  <si>
    <t>=IF(TABLE_FIELD=8,SD_COST_VALUE,SD_COST_VALUE/(1-base_part_margin))</t>
  </si>
  <si>
    <t>This field is used to populate both COST &amp; SELL PRICE</t>
  </si>
  <si>
    <t>DISCOUNT</t>
  </si>
  <si>
    <t>Base Part Number</t>
  </si>
  <si>
    <t>Part Type</t>
  </si>
  <si>
    <t>Sell Price</t>
  </si>
  <si>
    <t>Cost Per Sqft</t>
  </si>
  <si>
    <t>PART_TYPE_TABLE</t>
  </si>
  <si>
    <t>MARGINS_TABLE</t>
  </si>
  <si>
    <t>Comment</t>
  </si>
  <si>
    <t>Table Worksheet</t>
  </si>
  <si>
    <t>Table Name</t>
  </si>
  <si>
    <t>DEVICE UTILITY TBL</t>
  </si>
  <si>
    <t>BASE PARTS TBL</t>
  </si>
  <si>
    <t>MATERIAL TBL</t>
  </si>
  <si>
    <t>MATERIAL_TABLE</t>
  </si>
  <si>
    <t>FINISH TBL</t>
  </si>
  <si>
    <t>FINISH_TABLE</t>
  </si>
  <si>
    <t>MARGINS TBL</t>
  </si>
  <si>
    <t>PART TYPE TBL</t>
  </si>
  <si>
    <t>REGISTERED_FLAG</t>
  </si>
  <si>
    <t>FALSE Until user registers with Glide-Line</t>
  </si>
  <si>
    <t>GLT1</t>
  </si>
  <si>
    <t>SLS</t>
  </si>
  <si>
    <t>SLLU</t>
  </si>
  <si>
    <t>PLT</t>
  </si>
  <si>
    <t>LGTL</t>
  </si>
  <si>
    <t>LGTT</t>
  </si>
  <si>
    <t>CMOT</t>
  </si>
  <si>
    <t>NMOT</t>
  </si>
  <si>
    <t>DCP</t>
  </si>
  <si>
    <t>CCL</t>
  </si>
  <si>
    <t>LSB</t>
  </si>
  <si>
    <t>TLS</t>
  </si>
  <si>
    <t>HSB</t>
  </si>
  <si>
    <t>VSB</t>
  </si>
  <si>
    <t>SSB</t>
  </si>
  <si>
    <t>STP</t>
  </si>
  <si>
    <t>DSTP</t>
  </si>
  <si>
    <t>DCMC</t>
  </si>
  <si>
    <t>CM</t>
  </si>
  <si>
    <t>CMB</t>
  </si>
  <si>
    <t>BLL</t>
  </si>
  <si>
    <t>LGH</t>
  </si>
  <si>
    <t>FMB</t>
  </si>
  <si>
    <t>GP</t>
  </si>
  <si>
    <t>HL</t>
  </si>
  <si>
    <t>VTUC</t>
  </si>
  <si>
    <t>JSFT</t>
  </si>
  <si>
    <t>CRV</t>
  </si>
  <si>
    <t>TCRV</t>
  </si>
  <si>
    <t>Assembly</t>
  </si>
  <si>
    <t>Engineering</t>
  </si>
  <si>
    <t>Programming</t>
  </si>
  <si>
    <t>Shop</t>
  </si>
  <si>
    <t>CNC</t>
  </si>
  <si>
    <t>CA</t>
  </si>
  <si>
    <t>GL END CAP R</t>
  </si>
  <si>
    <t>molded</t>
  </si>
  <si>
    <t>P-00011</t>
  </si>
  <si>
    <t>GL END CAP L</t>
  </si>
  <si>
    <t>P-00012</t>
  </si>
  <si>
    <t>GL END CAP C</t>
  </si>
  <si>
    <t>P-00014</t>
  </si>
  <si>
    <t>GL FLANGED ROLLER</t>
  </si>
  <si>
    <t>P-00016</t>
  </si>
  <si>
    <t>BALL BEARING (FLANGED ROLLER)</t>
  </si>
  <si>
    <t>purchased med</t>
  </si>
  <si>
    <t>P-00017</t>
  </si>
  <si>
    <t>BALL BEARING (DRIVE PULLEY)</t>
  </si>
  <si>
    <t>P-00018</t>
  </si>
  <si>
    <t>END ROLLER SHAFT</t>
  </si>
  <si>
    <t>machined in qty</t>
  </si>
  <si>
    <t>P-00019</t>
  </si>
  <si>
    <t>M5 RECTANGULAR NUT</t>
  </si>
  <si>
    <t>P-00020</t>
  </si>
  <si>
    <t>24VDC MOTOR CONTROLLER</t>
  </si>
  <si>
    <t>purchased high</t>
  </si>
  <si>
    <t>P-00021</t>
  </si>
  <si>
    <t>100W 24VDC MOTOR</t>
  </si>
  <si>
    <t>A</t>
  </si>
  <si>
    <t>P-00022</t>
  </si>
  <si>
    <t>RETAINED IDLER SHAFT</t>
  </si>
  <si>
    <t>P-00025</t>
  </si>
  <si>
    <t>GL EXTRUSION</t>
  </si>
  <si>
    <t>NF</t>
  </si>
  <si>
    <t>GL profile</t>
  </si>
  <si>
    <t>P-00026</t>
  </si>
  <si>
    <t>GL GUIDED SLIDER BED</t>
  </si>
  <si>
    <t>SB profile</t>
  </si>
  <si>
    <t>P-00027</t>
  </si>
  <si>
    <t>GL UNGUIDED SLIDER BED</t>
  </si>
  <si>
    <t>P-00028:1:7</t>
  </si>
  <si>
    <t>SIZE 28 7:1 WORM REDUCER</t>
  </si>
  <si>
    <t>purchased low</t>
  </si>
  <si>
    <t>P-00028:1:10</t>
  </si>
  <si>
    <t>SIZE 28 10:1 WORM REDUCER</t>
  </si>
  <si>
    <t>P-00028:1:15</t>
  </si>
  <si>
    <t>SIZE 28 15:1 WORM REDUCER</t>
  </si>
  <si>
    <t>P-00028:1:20</t>
  </si>
  <si>
    <t>SIZE 28 20:1 WORM REDUCER</t>
  </si>
  <si>
    <t>P-00028:1:28</t>
  </si>
  <si>
    <t>SIZE 28 28:1 WORM REDUCER</t>
  </si>
  <si>
    <t>P-00028:1:40</t>
  </si>
  <si>
    <t>SIZE 28 40:1 WORM REDUCER</t>
  </si>
  <si>
    <t>P-00028:1:49</t>
  </si>
  <si>
    <t>SIZE 28 49:1 WORM REDUCER</t>
  </si>
  <si>
    <t>P-00028:1:56</t>
  </si>
  <si>
    <t>SIZE 28 56:1 WORM REDUCER</t>
  </si>
  <si>
    <t>P-00028:1:70</t>
  </si>
  <si>
    <t>SIZE 28 70:1 WORM REDUCER</t>
  </si>
  <si>
    <t>P-00028:1:80</t>
  </si>
  <si>
    <t>SIZE 28 80:1 WORM REDUCER</t>
  </si>
  <si>
    <t>P-00028:1:100</t>
  </si>
  <si>
    <t>SIZE 28 100:1 WORM REDUCER</t>
  </si>
  <si>
    <t>P-00028:2:7</t>
  </si>
  <si>
    <t>P-00028:2:10</t>
  </si>
  <si>
    <t>P-00028:2:15</t>
  </si>
  <si>
    <t>P-00028:2:20</t>
  </si>
  <si>
    <t>P-00028:2:28</t>
  </si>
  <si>
    <t>P-00028:2:40</t>
  </si>
  <si>
    <t>P-00028:2:49</t>
  </si>
  <si>
    <t>P-00028:2:56</t>
  </si>
  <si>
    <t>P-00028:2:70</t>
  </si>
  <si>
    <t>P-00028:2:80</t>
  </si>
  <si>
    <t>P-00028:2:100</t>
  </si>
  <si>
    <t>P-00029</t>
  </si>
  <si>
    <t>T5 BELT STEEL CORE WHITE</t>
  </si>
  <si>
    <t>belt</t>
  </si>
  <si>
    <t>P-00030</t>
  </si>
  <si>
    <t xml:space="preserve">T5 BELT STEEL CORE GREEN </t>
  </si>
  <si>
    <t>P-00031</t>
  </si>
  <si>
    <t>T5 BELT STEEL CORE BLACK</t>
  </si>
  <si>
    <t>P-00033</t>
  </si>
  <si>
    <t>KEY COLLAR</t>
  </si>
  <si>
    <t>P-00034</t>
  </si>
  <si>
    <t>FIXTURING WASHER</t>
  </si>
  <si>
    <t>P-00035</t>
  </si>
  <si>
    <t>LTU LIFT PLATE</t>
  </si>
  <si>
    <t>machined to order</t>
  </si>
  <si>
    <t>P-00036</t>
  </si>
  <si>
    <t>LTU MOUNTING PLATE</t>
  </si>
  <si>
    <t>P-00037</t>
  </si>
  <si>
    <t>LTU SLIDER PLATE</t>
  </si>
  <si>
    <t>P-00038</t>
  </si>
  <si>
    <t>FLANGED LINEAR BUSHING</t>
  </si>
  <si>
    <t>P-00039</t>
  </si>
  <si>
    <t>LINEAR SHAFT</t>
  </si>
  <si>
    <t>P-00040:1:5</t>
  </si>
  <si>
    <t>SIZE 40 5:1 WORM REDUCER</t>
  </si>
  <si>
    <t>P-00040:1:7</t>
  </si>
  <si>
    <t>SIZE 40 7:1 WORM REDUCER</t>
  </si>
  <si>
    <t>P-00040:1:10</t>
  </si>
  <si>
    <t>SIZE 40 10:1 WORM REDUCER</t>
  </si>
  <si>
    <t>P-00040:1:15</t>
  </si>
  <si>
    <t>SIZE 40 15:1 WORM REDUCER</t>
  </si>
  <si>
    <t>P-00040:1:20</t>
  </si>
  <si>
    <t>SIZE 40 20:1 WORM REDUCER</t>
  </si>
  <si>
    <t>P-00040:1:28</t>
  </si>
  <si>
    <t>SIZE 40 28:1 WORM REDUCER</t>
  </si>
  <si>
    <t>P-00040:1:40</t>
  </si>
  <si>
    <t>SIZE 40 40:1 WORM REDUCER</t>
  </si>
  <si>
    <t>P-00040:1:49</t>
  </si>
  <si>
    <t>SIZE 40 49:1 WORM REDUCER</t>
  </si>
  <si>
    <t>P-00040:1:56</t>
  </si>
  <si>
    <t>SIZE 40 56:1 WORM REDUCER</t>
  </si>
  <si>
    <t>P-00040:1:70</t>
  </si>
  <si>
    <t>SIZE 40 70:1 WORM REDUCER</t>
  </si>
  <si>
    <t>P-00040:1:80</t>
  </si>
  <si>
    <t>SIZE 40 80:1 WORM REDUCER</t>
  </si>
  <si>
    <t>P-00040:1:100</t>
  </si>
  <si>
    <t>SIZE 40 100:1 WORM REDUCER</t>
  </si>
  <si>
    <t>P-00040:2:5</t>
  </si>
  <si>
    <t>P-00040:2:7</t>
  </si>
  <si>
    <t>P-00040:2:10</t>
  </si>
  <si>
    <t>P-00040:2:15</t>
  </si>
  <si>
    <t>P-00040:2:20</t>
  </si>
  <si>
    <t>P-00040:2:28</t>
  </si>
  <si>
    <t>P-00040:2:40</t>
  </si>
  <si>
    <t>P-00040:2:49</t>
  </si>
  <si>
    <t>P-00040:2:56</t>
  </si>
  <si>
    <t>P-00040:2:70</t>
  </si>
  <si>
    <t>P-00040:2:80</t>
  </si>
  <si>
    <t>P-00040:2:100</t>
  </si>
  <si>
    <t>P-00042</t>
  </si>
  <si>
    <t>8mm T-BLOCK M8 THREAD</t>
  </si>
  <si>
    <t>P-00045</t>
  </si>
  <si>
    <t>6mm T-BLOCK M5 THREAD</t>
  </si>
  <si>
    <t>P-00046</t>
  </si>
  <si>
    <t>LTU AIR CYLINDER</t>
  </si>
  <si>
    <t>P-00049</t>
  </si>
  <si>
    <t>LTU TRANSVERSE SPACER</t>
  </si>
  <si>
    <t>P-00050:1:5</t>
  </si>
  <si>
    <t>SIZE 50 5:1 WORM REDUCER</t>
  </si>
  <si>
    <t>P-00050:1:7</t>
  </si>
  <si>
    <t>SIZE 50 7:1 WORM REDUCER</t>
  </si>
  <si>
    <t>P-00050:1:10</t>
  </si>
  <si>
    <t>SIZE 50 10:1 WORM REDUCER</t>
  </si>
  <si>
    <t>P-00050:1:15</t>
  </si>
  <si>
    <t>SIZE 50 15:1 WORM REDUCER</t>
  </si>
  <si>
    <t>P-00050:1:20</t>
  </si>
  <si>
    <t>SIZE 50 20:1 WORM REDUCER</t>
  </si>
  <si>
    <t>P-00050:1:28</t>
  </si>
  <si>
    <t>SIZE 50 28:1 WORM REDUCER</t>
  </si>
  <si>
    <t>P-00050:1:40</t>
  </si>
  <si>
    <t>SIZE 50 40:1 WORM REDUCER</t>
  </si>
  <si>
    <t>P-00050:1:49</t>
  </si>
  <si>
    <t>SIZE 50 49:1 WORM REDUCER</t>
  </si>
  <si>
    <t>P-00050:1:56</t>
  </si>
  <si>
    <t>SIZE 50 56:1 WORM REDUCER</t>
  </si>
  <si>
    <t>P-00050:1:70</t>
  </si>
  <si>
    <t>SIZE 50 70:1 WORM REDUCER</t>
  </si>
  <si>
    <t>P-00050:1:80</t>
  </si>
  <si>
    <t>SIZE 50 80:1 WORM REDUCER</t>
  </si>
  <si>
    <t>P-00050:1:100</t>
  </si>
  <si>
    <t>SIZE 50 100:1 WORM REDUCER</t>
  </si>
  <si>
    <t>P-00050:2:5</t>
  </si>
  <si>
    <t>P-00050:2:7</t>
  </si>
  <si>
    <t>P-00050:2:10</t>
  </si>
  <si>
    <t>P-00050:2:15</t>
  </si>
  <si>
    <t>P-00050:2:20</t>
  </si>
  <si>
    <t>P-00050:2:28</t>
  </si>
  <si>
    <t>P-00050:2:40</t>
  </si>
  <si>
    <t>P-00050:2:49</t>
  </si>
  <si>
    <t>P-00050:2:56</t>
  </si>
  <si>
    <t>P-00050:2:70</t>
  </si>
  <si>
    <t>P-00050:2:80</t>
  </si>
  <si>
    <t>P-00050:2:100</t>
  </si>
  <si>
    <t>P-00051</t>
  </si>
  <si>
    <t>LTU CYLINDER SPACER</t>
  </si>
  <si>
    <t>P-00052</t>
  </si>
  <si>
    <t>IDLER SHAFT</t>
  </si>
  <si>
    <t>standard</t>
  </si>
  <si>
    <t>P-00055</t>
  </si>
  <si>
    <t>LTU TRANSVERSE SUPPORT</t>
  </si>
  <si>
    <t>D</t>
  </si>
  <si>
    <t>P-00061</t>
  </si>
  <si>
    <t>SHIM WASHER</t>
  </si>
  <si>
    <t>P-00066</t>
  </si>
  <si>
    <t>1/4 HP 1~ MOTOR</t>
  </si>
  <si>
    <t>P-00067</t>
  </si>
  <si>
    <t>1/4 HP 3~ MOTOR</t>
  </si>
  <si>
    <t>P-00068</t>
  </si>
  <si>
    <t>1/2 HP 3~ MOTOR</t>
  </si>
  <si>
    <t>P-00069</t>
  </si>
  <si>
    <t>P-00072</t>
  </si>
  <si>
    <t>45 X 45 BRACKET</t>
  </si>
  <si>
    <t>P-00074</t>
  </si>
  <si>
    <t>INSIDE TO INSIDE GUSSET</t>
  </si>
  <si>
    <t>P-00076</t>
  </si>
  <si>
    <t>45 X 45 EXTRUSION</t>
  </si>
  <si>
    <t>P-00077</t>
  </si>
  <si>
    <t>14mm KEYED DRIVESHAFT</t>
  </si>
  <si>
    <t>P-00088</t>
  </si>
  <si>
    <t>KEY GUARD TUBE</t>
  </si>
  <si>
    <t>P-00090</t>
  </si>
  <si>
    <t>VARVEL RT28 GEARBOX HANGAR</t>
  </si>
  <si>
    <t>P-00094</t>
  </si>
  <si>
    <t>VARVEL RT40 GEARBOX HANGAR</t>
  </si>
  <si>
    <t>P-00097</t>
  </si>
  <si>
    <t>DRIVE KEY</t>
  </si>
  <si>
    <t>P-00098</t>
  </si>
  <si>
    <t>SHORT ROLL PIN</t>
  </si>
  <si>
    <t>P-00099</t>
  </si>
  <si>
    <t>LONG ROLL PIN</t>
  </si>
  <si>
    <t>P-00100</t>
  </si>
  <si>
    <t>WASHER</t>
  </si>
  <si>
    <t>P-00101</t>
  </si>
  <si>
    <t>IEC 63-B14 FLANGE FOR 28 REDUCER</t>
  </si>
  <si>
    <t>P-00102</t>
  </si>
  <si>
    <t>IEC 63-B14 FLANGE FOR 40 REDUCER</t>
  </si>
  <si>
    <t>P-00104</t>
  </si>
  <si>
    <t>MOTOR COUPLING FOR IEC 63 FLANGE KIT</t>
  </si>
  <si>
    <t>P-00105</t>
  </si>
  <si>
    <t>MOTOR COUPLING FOR IEC 71 FLANGE KIT</t>
  </si>
  <si>
    <t>P-00115</t>
  </si>
  <si>
    <t>PALLET BUMPER</t>
  </si>
  <si>
    <t>P-00115:160</t>
  </si>
  <si>
    <t>PALLET BUMPER 160</t>
  </si>
  <si>
    <t>P-00116:4.8</t>
  </si>
  <si>
    <t>PALLET BUSHING .1875 SHOULDER</t>
  </si>
  <si>
    <t>P-00116:6.4</t>
  </si>
  <si>
    <t>PALLET BUSHING .25 SHOULDER</t>
  </si>
  <si>
    <t>P-00116:12.7</t>
  </si>
  <si>
    <t>PALLET BUSHING .5 SHOULDER</t>
  </si>
  <si>
    <t>P-00117</t>
  </si>
  <si>
    <t>CAST DRIVE PULLEY HALF</t>
  </si>
  <si>
    <t>cast</t>
  </si>
  <si>
    <t>P-00118</t>
  </si>
  <si>
    <t xml:space="preserve">CAST DRIVE PULLEY MOUNT  </t>
  </si>
  <si>
    <t>P-00119</t>
  </si>
  <si>
    <t>CAST UPPER DRIVE COVER</t>
  </si>
  <si>
    <t>P-00120</t>
  </si>
  <si>
    <t>CAST LOWER DRIVE COVER</t>
  </si>
  <si>
    <t>P-00121</t>
  </si>
  <si>
    <t xml:space="preserve">CAST DRIVE SIDE PLATE  </t>
  </si>
  <si>
    <t>P-00122</t>
  </si>
  <si>
    <t>CAST TAKEUP ARM</t>
  </si>
  <si>
    <t>P-00123</t>
  </si>
  <si>
    <t xml:space="preserve">CAST DRIVE FIXING BLOCK  </t>
  </si>
  <si>
    <t>P-00124</t>
  </si>
  <si>
    <t>CAST 16 TOOTH DRIVE PULLEY HALF</t>
  </si>
  <si>
    <t>P-00125</t>
  </si>
  <si>
    <t>CAST DRIVE CAP WITH BELL HOUSING</t>
  </si>
  <si>
    <t>P-00126</t>
  </si>
  <si>
    <t>CAST GEARBOX HANGAR SPACER</t>
  </si>
  <si>
    <t>P-00127</t>
  </si>
  <si>
    <t>CAST VARVEL RT28 GEARBOX FLANGE</t>
  </si>
  <si>
    <t>P-00128</t>
  </si>
  <si>
    <t>CAST VARVEL RT40 GEARBOX FLANGE</t>
  </si>
  <si>
    <t>P-00129</t>
  </si>
  <si>
    <t>CAST DC MOTOR MOUNT</t>
  </si>
  <si>
    <t>P-00130</t>
  </si>
  <si>
    <t>DRIVE PULLEY KEY</t>
  </si>
  <si>
    <t>P-00131</t>
  </si>
  <si>
    <t>CAST PALLET SIDE EXCITER INSERT</t>
  </si>
  <si>
    <t>P-00132</t>
  </si>
  <si>
    <t>CAST PALLET BOTTOM EXCITER INSERT</t>
  </si>
  <si>
    <t>P-00133</t>
  </si>
  <si>
    <t>SEPARATOR STOP 60 KG, WITH DAMPING, SINGLE ACTING</t>
  </si>
  <si>
    <t>P-00134</t>
  </si>
  <si>
    <t>SEPARATOR STOP 400 KG, WITHOUT DAMPING, SINGLE ACTING</t>
  </si>
  <si>
    <t>P-00135</t>
  </si>
  <si>
    <t>ANGLE DAMPER, 60KG</t>
  </si>
  <si>
    <t>P-00136</t>
  </si>
  <si>
    <t>ANGLE DAMPER WITH ANGLE STEEL STOP PLATE, 60KG</t>
  </si>
  <si>
    <t>P-00137</t>
  </si>
  <si>
    <t>ANTI-REBOUND STOP</t>
  </si>
  <si>
    <t>P-00141</t>
  </si>
  <si>
    <t>TANDEM LTU CHAIN IDLER FRAME</t>
  </si>
  <si>
    <t>P-00143</t>
  </si>
  <si>
    <t>SPHERICAL BEARING MOUNT</t>
  </si>
  <si>
    <t>P-00144</t>
  </si>
  <si>
    <t>12mm D SHAFT</t>
  </si>
  <si>
    <t>P-00145</t>
  </si>
  <si>
    <t>INSERT BEARING 12mm BORE</t>
  </si>
  <si>
    <t>P-00148</t>
  </si>
  <si>
    <t>PROXIMITY SENSOR MOUNTING KITS</t>
  </si>
  <si>
    <t>P-00149</t>
  </si>
  <si>
    <t>PROXIMITY SENSOR MOUNTING KITS, INSIDE</t>
  </si>
  <si>
    <t>P-00150</t>
  </si>
  <si>
    <t>PROXIMITY SENSOR MOUNTING KITS, OUTSIDE</t>
  </si>
  <si>
    <t>P-00151</t>
  </si>
  <si>
    <t>1/4" TOOL AND JIG PALLET PLATE</t>
  </si>
  <si>
    <t>P-00152</t>
  </si>
  <si>
    <t>1/2" TOOL AND JIG PALLET PLATE</t>
  </si>
  <si>
    <t>P-00153</t>
  </si>
  <si>
    <t>3/16" STAINLESS 2B PALLET PLATE</t>
  </si>
  <si>
    <t>P-00154</t>
  </si>
  <si>
    <t>3/16" CARBON STEEL PALLET PLATE</t>
  </si>
  <si>
    <t>P-00156</t>
  </si>
  <si>
    <t>STANDARD LLU LIFT PLATE</t>
  </si>
  <si>
    <t>P-00157</t>
  </si>
  <si>
    <t>STANDARD GUIDE TOOL PLATE MOUNT</t>
  </si>
  <si>
    <t>C</t>
  </si>
  <si>
    <t>P-00158</t>
  </si>
  <si>
    <t>STANDARD GUIDE BASE PLATE</t>
  </si>
  <si>
    <t>B</t>
  </si>
  <si>
    <t>P-00159</t>
  </si>
  <si>
    <t>REST BUTTON</t>
  </si>
  <si>
    <t>P-00160</t>
  </si>
  <si>
    <t>ROUND LOCATING PIN</t>
  </si>
  <si>
    <t>P-00161</t>
  </si>
  <si>
    <t>DIAMOND LOCATING PIN</t>
  </si>
  <si>
    <t>P-00162</t>
  </si>
  <si>
    <t>CROSS RAIL SUPPORT</t>
  </si>
  <si>
    <t>P-00164</t>
  </si>
  <si>
    <t>DRIVE PULLEY HUB</t>
  </si>
  <si>
    <t>P-00165</t>
  </si>
  <si>
    <t>LOCATING BUTTON</t>
  </si>
  <si>
    <t>P-00166</t>
  </si>
  <si>
    <t>DOMED GLIDE-LINE LOGO STICKER</t>
  </si>
  <si>
    <t>P-00171</t>
  </si>
  <si>
    <t>IDLER SHAFT SPACER</t>
  </si>
  <si>
    <t>P-00172</t>
  </si>
  <si>
    <t>IDLER SHAFT WASHER</t>
  </si>
  <si>
    <t>P-00173</t>
  </si>
  <si>
    <t>2.5" ROUND GROOVE IDLER PULLEY</t>
  </si>
  <si>
    <t>P-00174</t>
  </si>
  <si>
    <t>3.5" ROUND GROOVE IDLER PULLEY</t>
  </si>
  <si>
    <t>P-00175</t>
  </si>
  <si>
    <t>3" V GROOVE DRIVE PULLEY (MODIFIED)</t>
  </si>
  <si>
    <t>P-00176</t>
  </si>
  <si>
    <t>SHORT SHOULDER ADAPTER</t>
  </si>
  <si>
    <t>P-00177</t>
  </si>
  <si>
    <t>LONG SHOULDER ADAPTER</t>
  </si>
  <si>
    <t>P-00178</t>
  </si>
  <si>
    <t>10mm CLEAR ROUND BELT</t>
  </si>
  <si>
    <t>P-00179</t>
  </si>
  <si>
    <t>SHOCK ABSORBER</t>
  </si>
  <si>
    <t>P-00180</t>
  </si>
  <si>
    <t>STANDARD LRU BASE PLATE</t>
  </si>
  <si>
    <t>P-00181</t>
  </si>
  <si>
    <t>LRU MOTOR MOUNT</t>
  </si>
  <si>
    <t>P-00182</t>
  </si>
  <si>
    <t>ROTARY SHAFT</t>
  </si>
  <si>
    <t>P-00183</t>
  </si>
  <si>
    <t>SPANNER NUT</t>
  </si>
  <si>
    <t>P-00184</t>
  </si>
  <si>
    <t>LRU TOOLPLATE</t>
  </si>
  <si>
    <t>P-00186</t>
  </si>
  <si>
    <t>4" STROKE AIR CYLINDER</t>
  </si>
  <si>
    <t>P-00187</t>
  </si>
  <si>
    <t>10" STROKE AIR CYLINDER</t>
  </si>
  <si>
    <t>P-00188</t>
  </si>
  <si>
    <t>LLU LINEAR GUIDE SHAFT</t>
  </si>
  <si>
    <t>P-00189</t>
  </si>
  <si>
    <t>LRU LINEAR GUIDE SHAFT</t>
  </si>
  <si>
    <t>P-00190</t>
  </si>
  <si>
    <t>LINEAR BUSHING</t>
  </si>
  <si>
    <t>P-00191</t>
  </si>
  <si>
    <t>CIRCULAR POST</t>
  </si>
  <si>
    <t>P-00192</t>
  </si>
  <si>
    <t>72 TOOTH S5M TIMING PULLEY</t>
  </si>
  <si>
    <t>P-00193</t>
  </si>
  <si>
    <t>16 TOOTH S5M PULLEY</t>
  </si>
  <si>
    <t>P-00194</t>
  </si>
  <si>
    <t>109 TOOTH S5M TIMING BELT</t>
  </si>
  <si>
    <t>P-00195</t>
  </si>
  <si>
    <t>DEEP GROOVE BALL BEARING</t>
  </si>
  <si>
    <t>P-00196</t>
  </si>
  <si>
    <t>ROTARY POST</t>
  </si>
  <si>
    <t>P-00197</t>
  </si>
  <si>
    <t>PRELOAD RING</t>
  </si>
  <si>
    <t>P-00199</t>
  </si>
  <si>
    <t>M6 X 25 HEXOLOBULAR PAN HEAD THREAD FORMING SCREW</t>
  </si>
  <si>
    <t>P-00200</t>
  </si>
  <si>
    <t>M5 X 16 HEXALOBULAR FLAT HEAD THREAD FORMING SCREW</t>
  </si>
  <si>
    <t>P-00201</t>
  </si>
  <si>
    <t>M5 X 20 HEXALOBULAR FLAT HEAD THREAD FORMING SCREW</t>
  </si>
  <si>
    <t>P-00202</t>
  </si>
  <si>
    <t>M5 X 25 HEXALOBULAR FLAT HEAD THREAD FORMING SCREW</t>
  </si>
  <si>
    <t>P-00203</t>
  </si>
  <si>
    <t>M5 X 30 HEXALOBULAR FLAT HEAD THREAD FORMING SCREW</t>
  </si>
  <si>
    <t>P-00204</t>
  </si>
  <si>
    <t>M5 X 16 HEX HEAD FLANGE BOLT</t>
  </si>
  <si>
    <t>P-00205</t>
  </si>
  <si>
    <t>M5 X 8 HEX HEAD FLANGE BOLT</t>
  </si>
  <si>
    <t>P-00206</t>
  </si>
  <si>
    <t>2-56 X .75 HEXOLOBULAR PAN HEAD THREAD FORMING SCREW</t>
  </si>
  <si>
    <t>P-00207</t>
  </si>
  <si>
    <t>LLU SIDE GUARD PANEL</t>
  </si>
  <si>
    <t>P-00208</t>
  </si>
  <si>
    <t>LLU END GUARD PANEL</t>
  </si>
  <si>
    <t>P-00209</t>
  </si>
  <si>
    <t>LLU BOTTOM GUARD PANEL</t>
  </si>
  <si>
    <t>P-00210</t>
  </si>
  <si>
    <t>LRU SIDE GUARD PANEL</t>
  </si>
  <si>
    <t>P-00211</t>
  </si>
  <si>
    <t>LRU END GUARD PANEL</t>
  </si>
  <si>
    <t>P-00212</t>
  </si>
  <si>
    <t>LRU BOTTOM GUARD PANEL</t>
  </si>
  <si>
    <t>P-00214</t>
  </si>
  <si>
    <t>PLUG</t>
  </si>
  <si>
    <t>P-00215</t>
  </si>
  <si>
    <t>SELF LOCKING INTERNAL RETAINING RING</t>
  </si>
  <si>
    <t>P-00216</t>
  </si>
  <si>
    <t>CONNECTING LINK</t>
  </si>
  <si>
    <t>P-00217</t>
  </si>
  <si>
    <t>PANEL MOUNTING UNIBLOCK</t>
  </si>
  <si>
    <t>P-00218</t>
  </si>
  <si>
    <t>PANEL MOUNTING UNIBLOCK 2mm SPACER</t>
  </si>
  <si>
    <t>P-00219</t>
  </si>
  <si>
    <t>PANEL MOUNTING UNIBLOCK 3mm SPACER</t>
  </si>
  <si>
    <t>P-00220</t>
  </si>
  <si>
    <t>PANEL MOUNTING UNIBLOCK 5mm SPACER</t>
  </si>
  <si>
    <t>P-00221</t>
  </si>
  <si>
    <t>LOCK OUT IN DE-ENERGISED STATE STICKER</t>
  </si>
  <si>
    <t>P-00222</t>
  </si>
  <si>
    <t>45 X 45 END CAP</t>
  </si>
  <si>
    <t>P-00223</t>
  </si>
  <si>
    <t>10mm T-SLOT NUT M8</t>
  </si>
  <si>
    <t>P-00224</t>
  </si>
  <si>
    <t>ROLL PIN</t>
  </si>
  <si>
    <t>P-00225:14</t>
  </si>
  <si>
    <t>M8 X 14 T-BOLT FASTENING KIT</t>
  </si>
  <si>
    <t>P-00225:19</t>
  </si>
  <si>
    <t>M8 X 19 T-BOLT FASTENING KIT</t>
  </si>
  <si>
    <t>P-00225:24</t>
  </si>
  <si>
    <t>M8 X 24 T-BOLT FASTENING KIT</t>
  </si>
  <si>
    <t>P-00225:34</t>
  </si>
  <si>
    <t>M8 X 34 T-BOLT FASTENING KIT</t>
  </si>
  <si>
    <t>P-0026</t>
  </si>
  <si>
    <t>P-0027</t>
  </si>
  <si>
    <t>CAST TAKEUP CAM</t>
  </si>
  <si>
    <t>P-00228</t>
  </si>
  <si>
    <t>TAKEUP ARM IDLER SHAFT</t>
  </si>
  <si>
    <t>P-00229</t>
  </si>
  <si>
    <t>TAKEUP ARM RETURN SPRING</t>
  </si>
  <si>
    <t>P-00232</t>
  </si>
  <si>
    <t>LTU SLAVE DRIVE SPROCKET</t>
  </si>
  <si>
    <t>P-00233</t>
  </si>
  <si>
    <t>LTU SLAVE DRIVEN SPROCKET</t>
  </si>
  <si>
    <t>P-00234</t>
  </si>
  <si>
    <t>LTU DRIVE CHAIN</t>
  </si>
  <si>
    <t>P-00235</t>
  </si>
  <si>
    <t>MASTER LINK FOR #25 CHAIN</t>
  </si>
  <si>
    <t>P-00236</t>
  </si>
  <si>
    <t>PANEL MOUNTING BLOCK</t>
  </si>
  <si>
    <t>P-00237</t>
  </si>
  <si>
    <t>P-00238</t>
  </si>
  <si>
    <t>UNIVERSAL ELBOW FOR 1/4" TUBE</t>
  </si>
  <si>
    <t>P-00241</t>
  </si>
  <si>
    <t>P-00242:9</t>
  </si>
  <si>
    <t>COUPLING HUB 9mm BORE</t>
  </si>
  <si>
    <t>P-00242:11</t>
  </si>
  <si>
    <t>COUPLING HUB 11mm BORE</t>
  </si>
  <si>
    <t>P-00242:12</t>
  </si>
  <si>
    <t>COUPLING HUB 12mm BORE</t>
  </si>
  <si>
    <t>P-00242:14</t>
  </si>
  <si>
    <t>COUPLING HUB 14mm BORE</t>
  </si>
  <si>
    <t>P-00243</t>
  </si>
  <si>
    <t>COUPLING SPIDER</t>
  </si>
  <si>
    <t>P-00245-A</t>
  </si>
  <si>
    <t>AC DRIVE MOUNTING PLATE</t>
  </si>
  <si>
    <t>P-00246</t>
  </si>
  <si>
    <t>AC DRIVE MOUNTING SPACER</t>
  </si>
  <si>
    <t>P-00247</t>
  </si>
  <si>
    <t>AC DRIVE GUARD POST</t>
  </si>
  <si>
    <t>P-00248</t>
  </si>
  <si>
    <t>AC DRIVE CHIN GUARD</t>
  </si>
  <si>
    <t>P-00249</t>
  </si>
  <si>
    <t>CYLINDER ROD SPACER</t>
  </si>
  <si>
    <t>P-00250</t>
  </si>
  <si>
    <t>LOCATING PIN LIFTER</t>
  </si>
  <si>
    <t>P-00251</t>
  </si>
  <si>
    <t>ROUND BELT ROLLER</t>
  </si>
  <si>
    <t>P-00252</t>
  </si>
  <si>
    <t>ULTRA LOW SOCKET HEAD CAP SCREW</t>
  </si>
  <si>
    <t>P-00253</t>
  </si>
  <si>
    <t>P-00254-XXX</t>
  </si>
  <si>
    <t>END TRANSVERSE GUARD</t>
  </si>
  <si>
    <t>P-00254-480</t>
  </si>
  <si>
    <t>P-00255</t>
  </si>
  <si>
    <t>TRANSVERSE GUARD GUSSET</t>
  </si>
  <si>
    <t>P-00256</t>
  </si>
  <si>
    <t>DC SHAFT SUPPORT BEARING</t>
  </si>
  <si>
    <t>P-00257</t>
  </si>
  <si>
    <t>M5 THREAD INSERT</t>
  </si>
  <si>
    <t>P-00258</t>
  </si>
  <si>
    <t>P-00259</t>
  </si>
  <si>
    <t>24VDC MOTOR</t>
  </si>
  <si>
    <t>P-00260</t>
  </si>
  <si>
    <t>CROSSMEMBER CONNECTOR</t>
  </si>
  <si>
    <t>P-00261</t>
  </si>
  <si>
    <t>UPPER ANVIL ROD</t>
  </si>
  <si>
    <t>P-00262</t>
  </si>
  <si>
    <t>LOWER ANVIL ROD</t>
  </si>
  <si>
    <t>P-00263</t>
  </si>
  <si>
    <t>SHUTTLE GRIP</t>
  </si>
  <si>
    <t>P-00264</t>
  </si>
  <si>
    <t>SHUTTLE GUIDE SLEEVE</t>
  </si>
  <si>
    <t>P-00265</t>
  </si>
  <si>
    <t>LIFT AIR CYLINDER</t>
  </si>
  <si>
    <t>P-00266</t>
  </si>
  <si>
    <t>SHUTTLE AIR CYLINDER</t>
  </si>
  <si>
    <t>P-00267</t>
  </si>
  <si>
    <t>P-00268</t>
  </si>
  <si>
    <t>P-00269-XXX-YYY</t>
  </si>
  <si>
    <t>ANVIL PLATE</t>
  </si>
  <si>
    <t>P-00270-XXX-YYY</t>
  </si>
  <si>
    <t>HLLU TOOLPLATE</t>
  </si>
  <si>
    <t>SHUTTLE PLATE</t>
  </si>
  <si>
    <t>HLLU BASE PLATE</t>
  </si>
  <si>
    <t>P-00273-XXX-YYY</t>
  </si>
  <si>
    <t>STRIKE PLATE</t>
  </si>
  <si>
    <t>P-00274</t>
  </si>
  <si>
    <t>CUSION STOP 100Kg</t>
  </si>
  <si>
    <t>P-00275</t>
  </si>
  <si>
    <t>CUSION STOP 100Kg HIGH SPEED</t>
  </si>
  <si>
    <t>P-00276</t>
  </si>
  <si>
    <t>CUSION STOP 15Kg (W/O STRIKE PLATE)</t>
  </si>
  <si>
    <t>P-00277</t>
  </si>
  <si>
    <t>SHORT STRIKE PLATE FOR 15kg CUSION STOP</t>
  </si>
  <si>
    <t>P-00278</t>
  </si>
  <si>
    <t>MEDIUM STRIKE PLATE FOR 15kg CUSION STOP</t>
  </si>
  <si>
    <t>P-00279</t>
  </si>
  <si>
    <t>LONG STRIKE PLATE FOR 15kg CUSION STOP</t>
  </si>
  <si>
    <t>P-00280</t>
  </si>
  <si>
    <t>ANGLE DAMPER 60kg</t>
  </si>
  <si>
    <t>P-00281-A</t>
  </si>
  <si>
    <t>ANGLE DAMPER 150kg</t>
  </si>
  <si>
    <t>P-00282-C</t>
  </si>
  <si>
    <t>150kg ANGLE DAMPER MOUNT</t>
  </si>
  <si>
    <t>P-00283-A</t>
  </si>
  <si>
    <t>DAMPER CROSS SUPPORT MOUNT</t>
  </si>
  <si>
    <t>P-00284-A</t>
  </si>
  <si>
    <t>150kg ANGLE DAMPER MOUNT SPACER</t>
  </si>
  <si>
    <t>P-00285</t>
  </si>
  <si>
    <t>150kg ANGLE DAMPER SENSOR BRACKET</t>
  </si>
  <si>
    <t>P-00286-XXX</t>
  </si>
  <si>
    <t>150kg LTU TRUNK STOP BLADE</t>
  </si>
  <si>
    <t>P-00286-480-A</t>
  </si>
  <si>
    <t>150kg LTU STOP BLADE</t>
  </si>
  <si>
    <t>P-00287-XXX</t>
  </si>
  <si>
    <t>150kg LTU TRANSVERSE STOP BLADE</t>
  </si>
  <si>
    <t>P-00287-480</t>
  </si>
  <si>
    <t>P-00288</t>
  </si>
  <si>
    <t>DUCK LINK</t>
  </si>
  <si>
    <t>P-00289-B</t>
  </si>
  <si>
    <t>150kg ANGLE DAMPER DUCK HOUSING</t>
  </si>
  <si>
    <t>P-00290-A</t>
  </si>
  <si>
    <t>150kg ANGLE DAMPER DUCK MOUNT</t>
  </si>
  <si>
    <t>P-00291</t>
  </si>
  <si>
    <t>150kg ANGLE DAMPER DUCK LOCK</t>
  </si>
  <si>
    <t>P-00292-A</t>
  </si>
  <si>
    <t>150kg ANGLE DAMPER DUCK SENSOR PLATE</t>
  </si>
  <si>
    <t>P-00293</t>
  </si>
  <si>
    <t>150kg ANGLE DAMPER DUCK UPPER PIN</t>
  </si>
  <si>
    <t>P-00294</t>
  </si>
  <si>
    <t>150kg ANGLE DAMPER DUCK LOWER PIN</t>
  </si>
  <si>
    <t>P-00295</t>
  </si>
  <si>
    <t>ROCKER CYLINDER</t>
  </si>
  <si>
    <t>P-00296-A</t>
  </si>
  <si>
    <t>150kg ANGLE DAMPER SUB MOUNT</t>
  </si>
  <si>
    <t>P-00297-A</t>
  </si>
  <si>
    <t>150kg ANGLE DAMPER DUCK GUIDE PLATE</t>
  </si>
  <si>
    <t>P-00298</t>
  </si>
  <si>
    <t>36 TOOTH S5M TIMING PULLEY 28mm BORE</t>
  </si>
  <si>
    <t>P-00299</t>
  </si>
  <si>
    <t>14mm KEYLESS BUSHING</t>
  </si>
  <si>
    <t>P-00300</t>
  </si>
  <si>
    <t>PLANETARY GEARBOX FLANGE</t>
  </si>
  <si>
    <t>P-00301</t>
  </si>
  <si>
    <t>LRU PLANETARY GEARBOX MOUNT</t>
  </si>
  <si>
    <t>P-00302</t>
  </si>
  <si>
    <t>IDLER STANDOFF</t>
  </si>
  <si>
    <t>P-00303</t>
  </si>
  <si>
    <t>AC DRIVE LOWER SUPPORT</t>
  </si>
  <si>
    <t>P-00304</t>
  </si>
  <si>
    <t>AC DRIVE LOWER SUPPORT BLOCK</t>
  </si>
  <si>
    <t>P-00305</t>
  </si>
  <si>
    <t>P-00309</t>
  </si>
  <si>
    <t>IDLER SPROCKET</t>
  </si>
  <si>
    <t>P-00310</t>
  </si>
  <si>
    <t>CLAMP COLLAR WITH URETHANE</t>
  </si>
  <si>
    <t>P-00311-A</t>
  </si>
  <si>
    <t>150kg FORWARD DUCK LINK</t>
  </si>
  <si>
    <t>P-00312</t>
  </si>
  <si>
    <t>P-00313-XXX-YYY</t>
  </si>
  <si>
    <t>LRU SUB TOOLPLATE</t>
  </si>
  <si>
    <t>P-00314</t>
  </si>
  <si>
    <t>10mm T-SLOT NUT M5</t>
  </si>
  <si>
    <t>P-00315</t>
  </si>
  <si>
    <t>10mm T-SLOT NUT M6</t>
  </si>
  <si>
    <t>P-00316</t>
  </si>
  <si>
    <t>SILVER CV GLIDE-LINE STICKER</t>
  </si>
  <si>
    <t>P-00317</t>
  </si>
  <si>
    <t>118 TOOTH S5M TIMING BELT</t>
  </si>
  <si>
    <t>P-00318:50</t>
  </si>
  <si>
    <t>APEX GEARBOX</t>
  </si>
  <si>
    <t>P-00318:40</t>
  </si>
  <si>
    <t>PLANETARY GEARBOX</t>
  </si>
  <si>
    <t>P-00319</t>
  </si>
  <si>
    <t>NANOTEC IP20 MOTOR</t>
  </si>
  <si>
    <t>P-00320</t>
  </si>
  <si>
    <t>PROXIMITY SENSOR</t>
  </si>
  <si>
    <t>P-00322</t>
  </si>
  <si>
    <t>DART BASE PLATE</t>
  </si>
  <si>
    <t>P-00323</t>
  </si>
  <si>
    <t>DART CV PLATE</t>
  </si>
  <si>
    <t>P-00324</t>
  </si>
  <si>
    <t>DART TURRET BASE PLATE</t>
  </si>
  <si>
    <t>P-00325</t>
  </si>
  <si>
    <t>DART 60 TOOTH PULLEY</t>
  </si>
  <si>
    <t>P-00326</t>
  </si>
  <si>
    <t>DART 30 TOOTH PULLEY</t>
  </si>
  <si>
    <t>P-00327</t>
  </si>
  <si>
    <t>DART LIFT CYLINDER</t>
  </si>
  <si>
    <t>P-00328</t>
  </si>
  <si>
    <t>DART CENTER POST</t>
  </si>
  <si>
    <t>P-00329</t>
  </si>
  <si>
    <t>DART TURRET TUBE</t>
  </si>
  <si>
    <t>P-00330</t>
  </si>
  <si>
    <t>DART LINEAR BUSHING</t>
  </si>
  <si>
    <t>P-00331</t>
  </si>
  <si>
    <t>DART ROTARY BALL BEARING</t>
  </si>
  <si>
    <t>P-00332</t>
  </si>
  <si>
    <t>DART DRIVE BELT</t>
  </si>
  <si>
    <t>P-00333</t>
  </si>
  <si>
    <t>DART CYLINDER SPACER</t>
  </si>
  <si>
    <t>P-00334</t>
  </si>
  <si>
    <t>DART SKIRT MOUNTING POST</t>
  </si>
  <si>
    <t>P-00335</t>
  </si>
  <si>
    <t>KEY</t>
  </si>
  <si>
    <t>P-00337</t>
  </si>
  <si>
    <t>45 X 90 END CAP</t>
  </si>
  <si>
    <t>P-00338</t>
  </si>
  <si>
    <t>NA</t>
  </si>
  <si>
    <t>P-00339</t>
  </si>
  <si>
    <t>P-00341</t>
  </si>
  <si>
    <t>P-00342</t>
  </si>
  <si>
    <t>COMPRESSION SPRING</t>
  </si>
  <si>
    <t>P-00343</t>
  </si>
  <si>
    <t>GLIDE WASHER</t>
  </si>
  <si>
    <t>P-00344</t>
  </si>
  <si>
    <t>SPRING RETAINING WASHER</t>
  </si>
  <si>
    <t>P-00345</t>
  </si>
  <si>
    <t>STOP COLLAR</t>
  </si>
  <si>
    <t>P-00346</t>
  </si>
  <si>
    <t>DART TURRET SPACER</t>
  </si>
  <si>
    <t>P-00347</t>
  </si>
  <si>
    <t>DART BEARING RETAINING COLLAR</t>
  </si>
  <si>
    <t>P-00348</t>
  </si>
  <si>
    <t>LRU TOOL PLATE HUB</t>
  </si>
  <si>
    <t>P-00349</t>
  </si>
  <si>
    <t>LRU HUB CLAMP RING</t>
  </si>
  <si>
    <t>P-00350</t>
  </si>
  <si>
    <t>HAND ENTAGNLEMENT WARNING STICKER</t>
  </si>
  <si>
    <t>P-00351</t>
  </si>
  <si>
    <t>ELECTRICAL SHOCK WARNING STICKER</t>
  </si>
  <si>
    <t>P-00352</t>
  </si>
  <si>
    <t>M8 X M5 X 7.5 THREAD INSERT</t>
  </si>
  <si>
    <t>P-00353</t>
  </si>
  <si>
    <t>P-00354</t>
  </si>
  <si>
    <t>FOAM RING</t>
  </si>
  <si>
    <t>P-00355</t>
  </si>
  <si>
    <t>HYDRAULIC DAMPING STOP</t>
  </si>
  <si>
    <t>P-00356</t>
  </si>
  <si>
    <t>PLASTIC PIPE CEMENT</t>
  </si>
  <si>
    <t>P-00357</t>
  </si>
  <si>
    <t>TANDEM CURVE IDLER MOUNT</t>
  </si>
  <si>
    <t>P-00358-A</t>
  </si>
  <si>
    <t>ROUND LRU LIFTPLATE FOR OPTICAL</t>
  </si>
  <si>
    <t>P-00359-160</t>
  </si>
  <si>
    <t>LTU ROTARY SHAFT</t>
  </si>
  <si>
    <t>P-00360</t>
  </si>
  <si>
    <t>P-00361</t>
  </si>
  <si>
    <t>P-00362</t>
  </si>
  <si>
    <t>P-00363</t>
  </si>
  <si>
    <t>LTU GUIDE SKIRT</t>
  </si>
  <si>
    <t>P-00365</t>
  </si>
  <si>
    <t>LTU SPHERICAL BEARING MOUNT</t>
  </si>
  <si>
    <t>P-00366</t>
  </si>
  <si>
    <t>LTU DC MOTOR MOUNT</t>
  </si>
  <si>
    <t>P-00367</t>
  </si>
  <si>
    <t>LTU MOTOR CONTROLLER MOUNT</t>
  </si>
  <si>
    <t>P-00368</t>
  </si>
  <si>
    <t>P-00369</t>
  </si>
  <si>
    <t>LTU LIFT CYLINDER 32mm BORE</t>
  </si>
  <si>
    <t>P-00370</t>
  </si>
  <si>
    <t>LTU LIFT CYLINDER 50mm BORE</t>
  </si>
  <si>
    <t>P-00371</t>
  </si>
  <si>
    <t>LTU LOWER GUARD</t>
  </si>
  <si>
    <t>P-00372</t>
  </si>
  <si>
    <t>LTU SIDE GUARD</t>
  </si>
  <si>
    <t>P-00373</t>
  </si>
  <si>
    <t>LTU OUTER GUARD</t>
  </si>
  <si>
    <t>P-00375</t>
  </si>
  <si>
    <t>LTU STATIC STOP MOUNT</t>
  </si>
  <si>
    <t>P-00376</t>
  </si>
  <si>
    <t>LTU STATIC STOP STRIKE BLOCK</t>
  </si>
  <si>
    <t>P-00377</t>
  </si>
  <si>
    <t>LTU 15KG DROP-AWAY STOP MOUNT</t>
  </si>
  <si>
    <t>P-00378</t>
  </si>
  <si>
    <t>LTU 15KG DROP-AWAY STOP BLOCK</t>
  </si>
  <si>
    <t>P-00379</t>
  </si>
  <si>
    <t>LTU AC DRIVE CV MOUNT</t>
  </si>
  <si>
    <t>P-00380</t>
  </si>
  <si>
    <t>LTU DROP-AWAY CYLINDER</t>
  </si>
  <si>
    <t>P-00381</t>
  </si>
  <si>
    <t>WARNING STICKER (KEEP GUARDS IN PLACE)</t>
  </si>
  <si>
    <t>P-00382</t>
  </si>
  <si>
    <t>P-00383</t>
  </si>
  <si>
    <t>P-00383-1</t>
  </si>
  <si>
    <t>DORNER LLU END GUARD PANEL</t>
  </si>
  <si>
    <t>P-00384</t>
  </si>
  <si>
    <t>NANOTEC IP65 MOTOR</t>
  </si>
  <si>
    <t>P-00385</t>
  </si>
  <si>
    <t>NANOTEC IP65 POWER CABLE</t>
  </si>
  <si>
    <t>P-00386</t>
  </si>
  <si>
    <t>NANOTEC IP65 IO CABLE</t>
  </si>
  <si>
    <t>P-00387</t>
  </si>
  <si>
    <t>CAM BOX ASSEMBLY TOOL FRAME</t>
  </si>
  <si>
    <t>P-00388</t>
  </si>
  <si>
    <t>CAM BOX ASSEMBLY TOOL RETAINER</t>
  </si>
  <si>
    <t>P-00389</t>
  </si>
  <si>
    <t>ADHESIVE DISPENSING NEEDLE</t>
  </si>
  <si>
    <t>P-00390</t>
  </si>
  <si>
    <t>ADHESIVE SYRINGE</t>
  </si>
  <si>
    <t>P-00391</t>
  </si>
  <si>
    <t>LTU 24VDC MOTOR SPACER</t>
  </si>
  <si>
    <t>P-00392</t>
  </si>
  <si>
    <t>LTU 60KG DAMPER MOUNT</t>
  </si>
  <si>
    <t>P-00393</t>
  </si>
  <si>
    <t>LTU POSITION SENSOR POST</t>
  </si>
  <si>
    <t>P-00394</t>
  </si>
  <si>
    <t>M8 X 20 FLAT POINT SET SCREW</t>
  </si>
  <si>
    <t>P-00395</t>
  </si>
  <si>
    <t>LTU MID POSITION SPRING</t>
  </si>
  <si>
    <t>P-00396</t>
  </si>
  <si>
    <t>LTU BEARING FLANGE</t>
  </si>
  <si>
    <t>P-00397</t>
  </si>
  <si>
    <t>LTU BEARING CUP</t>
  </si>
  <si>
    <t>P-00398</t>
  </si>
  <si>
    <t>LTU TORQUE ARM</t>
  </si>
  <si>
    <t>P-00399</t>
  </si>
  <si>
    <t>LTU TORQUE ARM SPACER</t>
  </si>
  <si>
    <t>P-00401</t>
  </si>
  <si>
    <t>LTU 3 POSITION SENSOR BRACKET</t>
  </si>
  <si>
    <t>P-00402</t>
  </si>
  <si>
    <t>INPUT EXTENTION TUBE FOR 28 GBOX</t>
  </si>
  <si>
    <t>P-00403</t>
  </si>
  <si>
    <t>24VDC MOTOR FLANGE FOR 28 GBOX</t>
  </si>
  <si>
    <t>P-00404</t>
  </si>
  <si>
    <t>LTU MOTOR MOUNT TIE BAR</t>
  </si>
  <si>
    <t>P-00405</t>
  </si>
  <si>
    <t>20 X 20 EXTRUSION</t>
  </si>
  <si>
    <t>P-00406</t>
  </si>
  <si>
    <t>24VDC CARRIAGE BOLT ANCHOR</t>
  </si>
  <si>
    <t>P-00407</t>
  </si>
  <si>
    <t>M8 X 35 SHORT NECK CARRIAGE BOLT</t>
  </si>
  <si>
    <t>P-00408</t>
  </si>
  <si>
    <t>P-00409</t>
  </si>
  <si>
    <t>24VDC HP MOTOR CONTROLLER</t>
  </si>
  <si>
    <t>P-00410</t>
  </si>
  <si>
    <t>11mm COUPLING HALF</t>
  </si>
  <si>
    <t>P-00411</t>
  </si>
  <si>
    <t>12mm COUPLING HALF</t>
  </si>
  <si>
    <t>P-00412</t>
  </si>
  <si>
    <t>P-00413</t>
  </si>
  <si>
    <t>INPUT STUB SHAFT</t>
  </si>
  <si>
    <t>P-00414</t>
  </si>
  <si>
    <t>FOUNDATION BRACKET</t>
  </si>
  <si>
    <t>P-00415</t>
  </si>
  <si>
    <t>DOUBLE TAPPED T-NUT</t>
  </si>
  <si>
    <t>P-00416</t>
  </si>
  <si>
    <t>M5 X 20 ULTRA LOW SHCS</t>
  </si>
  <si>
    <t>P-00417</t>
  </si>
  <si>
    <t>M6 TO M3 THREAD INSERT</t>
  </si>
  <si>
    <t>P-00418</t>
  </si>
  <si>
    <t>M5 X 8 ULTRA LOW SHCS</t>
  </si>
  <si>
    <t>P-00419</t>
  </si>
  <si>
    <t>LTU GUARD ALIGNMENT TAB</t>
  </si>
  <si>
    <t>P-00420</t>
  </si>
  <si>
    <t>6mm T-BLOCK RETAINING CLIP</t>
  </si>
  <si>
    <t>P-00421</t>
  </si>
  <si>
    <t>LRU LOW PROFILE TOOL PLATE HUB</t>
  </si>
  <si>
    <t>P-00422</t>
  </si>
  <si>
    <t>6 POST ROUND LRU LIFTPLATE FOR OPTICAL</t>
  </si>
  <si>
    <t>P-00423</t>
  </si>
  <si>
    <t>ROUND LOCATING PIN REDUCED DIA</t>
  </si>
  <si>
    <t>P-00424</t>
  </si>
  <si>
    <t>DIAMOND LOCATING PIN REDUCED DIA</t>
  </si>
  <si>
    <t>P-00425</t>
  </si>
  <si>
    <t>UPPER TRANSVERSE GUARD</t>
  </si>
  <si>
    <t>P-00426</t>
  </si>
  <si>
    <t>SIDE TRANSVERSE GUARD</t>
  </si>
  <si>
    <t>P-00427</t>
  </si>
  <si>
    <t>LOWER TRANSVERSE GUARD</t>
  </si>
  <si>
    <t>P-00428</t>
  </si>
  <si>
    <t>P-00429</t>
  </si>
  <si>
    <t>Electric W/ Dampening</t>
  </si>
  <si>
    <t>P-00430</t>
  </si>
  <si>
    <t>P-00431</t>
  </si>
  <si>
    <t>Pneumatic W/ Dampening</t>
  </si>
  <si>
    <t>P-00432</t>
  </si>
  <si>
    <t>P-00433</t>
  </si>
  <si>
    <t>P-00434</t>
  </si>
  <si>
    <t>P-00435</t>
  </si>
  <si>
    <t>P-00436</t>
  </si>
  <si>
    <t>Pneumatic W/ NO Dampening</t>
  </si>
  <si>
    <t>P-00437</t>
  </si>
  <si>
    <t>1/4" LTU AIRLINE GROMMET</t>
  </si>
  <si>
    <t>P-00438</t>
  </si>
  <si>
    <t>5/16" LTU AIRLINE GROMMET</t>
  </si>
  <si>
    <t>P-00439</t>
  </si>
  <si>
    <t>3/8" LTU AIRLINE GROMMET</t>
  </si>
  <si>
    <t>P-00440</t>
  </si>
  <si>
    <t>90 DEG.BANJO FITTING FOR M5 PORT TO 1/4" TUBE</t>
  </si>
  <si>
    <t>P-00441</t>
  </si>
  <si>
    <t>15mm KEYLESS BUSHING</t>
  </si>
  <si>
    <t>P-00442</t>
  </si>
  <si>
    <t>36 TOOTH S5M TIMING PULLEY 29mm BORE</t>
  </si>
  <si>
    <t>P-00443-400</t>
  </si>
  <si>
    <t>ALUMINUM GUIDED SLIDER BED</t>
  </si>
  <si>
    <t>P-00444-XXX-YYY-ZZZ</t>
  </si>
  <si>
    <t>PULLER BASE PLATE</t>
  </si>
  <si>
    <t>P-00445-XXX-YYY</t>
  </si>
  <si>
    <t>PULLER LIFT PLATE</t>
  </si>
  <si>
    <t>P-00446-XXX-YYY</t>
  </si>
  <si>
    <t>PULLER TRANSFER ARM</t>
  </si>
  <si>
    <t>P-00447-XXX</t>
  </si>
  <si>
    <t>PULLER GLIDE STRIP</t>
  </si>
  <si>
    <t>P-00448-XXX</t>
  </si>
  <si>
    <t>PULLER TRANSFER GUIDE</t>
  </si>
  <si>
    <t>P-00449-XXX</t>
  </si>
  <si>
    <t>PULLER TRANSFER PLATE</t>
  </si>
  <si>
    <t>P-00450</t>
  </si>
  <si>
    <t>CYLINDER MOUNTING BLOCK</t>
  </si>
  <si>
    <t>P-00451</t>
  </si>
  <si>
    <t>TRANSFER PLATE MOUNTING POST</t>
  </si>
  <si>
    <t>P-00452</t>
  </si>
  <si>
    <t>SHOCK ABSORBER MOUNT</t>
  </si>
  <si>
    <t>P-00453</t>
  </si>
  <si>
    <t>LINEAR BEARING CLAMP RING</t>
  </si>
  <si>
    <t>P-00454</t>
  </si>
  <si>
    <t>OUTER LEG MOUNTING PLATE</t>
  </si>
  <si>
    <t>P-00455</t>
  </si>
  <si>
    <t>LOCATING BLADE</t>
  </si>
  <si>
    <t>P-00456</t>
  </si>
  <si>
    <t>LOCATING BLADE PLATE</t>
  </si>
  <si>
    <t>P-00457</t>
  </si>
  <si>
    <t>SLIDER NUT PLATE</t>
  </si>
  <si>
    <t>P-00458</t>
  </si>
  <si>
    <t>10-32 TO 1/4 TUBE 90 DEG FITTING</t>
  </si>
  <si>
    <t>P-00459</t>
  </si>
  <si>
    <t>GUIDE RAIL BRACKET BASE</t>
  </si>
  <si>
    <t>P-00460</t>
  </si>
  <si>
    <t>GUIDE RAIL CLAMP</t>
  </si>
  <si>
    <t>P-00461</t>
  </si>
  <si>
    <t>GUIDE RAIL UPRIGHT</t>
  </si>
  <si>
    <t>P-00462</t>
  </si>
  <si>
    <t>END PLUG, VF/VFS, GUIDERAIL CLAMPS, LS10</t>
  </si>
  <si>
    <t>P-00463-XXX</t>
  </si>
  <si>
    <t>GUIDE RAIL SST 10'-0" LONG</t>
  </si>
  <si>
    <t>P-00464</t>
  </si>
  <si>
    <t>4 PIN CONNECTOR</t>
  </si>
  <si>
    <t>P-00465</t>
  </si>
  <si>
    <t>2 PIN CONNECTOR</t>
  </si>
  <si>
    <t>P-00466</t>
  </si>
  <si>
    <t>IN LINE FLOW CONTROL</t>
  </si>
  <si>
    <t>P-00467</t>
  </si>
  <si>
    <t>GUIDE RAIL BASE SPACER</t>
  </si>
  <si>
    <t>P-00468</t>
  </si>
  <si>
    <t>MERGE LIFT CYLINDER 25MM BORE X 24MM STROKE</t>
  </si>
  <si>
    <t>P-00469-400</t>
  </si>
  <si>
    <t>ALUMINUM GUIDED SLIDER BED SHIM</t>
  </si>
  <si>
    <t>P-00470</t>
  </si>
  <si>
    <t>10mm T-NUT M6</t>
  </si>
  <si>
    <t>P-00471</t>
  </si>
  <si>
    <t>TRANSVERSING GRIP MOUNT</t>
  </si>
  <si>
    <t>P-00472</t>
  </si>
  <si>
    <t>TRANSVERSING GLIDE BLOCK</t>
  </si>
  <si>
    <t>P-00473</t>
  </si>
  <si>
    <t>GRIP REVERSING BAR</t>
  </si>
  <si>
    <t>P-00474</t>
  </si>
  <si>
    <t>BELT GRIP PLATE</t>
  </si>
  <si>
    <t>P-00475</t>
  </si>
  <si>
    <t>COUNTER MOUNT</t>
  </si>
  <si>
    <t>P-00476</t>
  </si>
  <si>
    <t>BELT GUIDE MOUNT</t>
  </si>
  <si>
    <t>P-00477</t>
  </si>
  <si>
    <t>BELT GUIDE</t>
  </si>
  <si>
    <t>P-00478</t>
  </si>
  <si>
    <t>COUNTER</t>
  </si>
  <si>
    <t>P-00479</t>
  </si>
  <si>
    <t>HANDWHEEL</t>
  </si>
  <si>
    <t>P-00480-XXX</t>
  </si>
  <si>
    <t>RODLESS PULL TRANSFER CYLINDER</t>
  </si>
  <si>
    <t>P-00481</t>
  </si>
  <si>
    <t>P-00482</t>
  </si>
  <si>
    <t>POLYURETHANE BUMPER</t>
  </si>
  <si>
    <t>P-00483</t>
  </si>
  <si>
    <t>P-00484</t>
  </si>
  <si>
    <t>CRU CV MOUNT</t>
  </si>
  <si>
    <t>P-00485</t>
  </si>
  <si>
    <t>P-00486</t>
  </si>
  <si>
    <t>RASTER CODE GL STICKER</t>
  </si>
  <si>
    <t>P-00489</t>
  </si>
  <si>
    <t>14mm STUB SHAFT</t>
  </si>
  <si>
    <t>P-00490</t>
  </si>
  <si>
    <t>18mm STUB SHAFT</t>
  </si>
  <si>
    <t>P-00491</t>
  </si>
  <si>
    <t>SQUARE DRIVE LUG</t>
  </si>
  <si>
    <t>P-00492</t>
  </si>
  <si>
    <t>18mm STUB SHAFT BORE REDUCER</t>
  </si>
  <si>
    <t>P-00493</t>
  </si>
  <si>
    <t>PARALLEL KEY</t>
  </si>
  <si>
    <t>P-00494</t>
  </si>
  <si>
    <t>P-00495</t>
  </si>
  <si>
    <t>14mm EXTERNAL RETAINING RING</t>
  </si>
  <si>
    <t>P-00496</t>
  </si>
  <si>
    <t>18mm EXTERNAL RETAINING RING</t>
  </si>
  <si>
    <t>P-00497</t>
  </si>
  <si>
    <t>LTU GUARD RAIL GAGE</t>
  </si>
  <si>
    <t>P-00498</t>
  </si>
  <si>
    <t>200W 24VDC MOTOR</t>
  </si>
  <si>
    <t>P-00499</t>
  </si>
  <si>
    <t>P-00500</t>
  </si>
  <si>
    <t>GUARD PLATE</t>
  </si>
  <si>
    <t>P-00501</t>
  </si>
  <si>
    <t>GUARD SPACER</t>
  </si>
  <si>
    <t>P-00502-160-160</t>
  </si>
  <si>
    <t>SLLU ANVIL PLATE</t>
  </si>
  <si>
    <t>P-00503-SEL</t>
  </si>
  <si>
    <t>OPTICAL SEL LTU LIFT PLATE</t>
  </si>
  <si>
    <t>P-00503-LEL</t>
  </si>
  <si>
    <t>OPTICAL LEL LTU LIFT PLATE</t>
  </si>
  <si>
    <t>P-00504-240-240</t>
  </si>
  <si>
    <t>LPLLU ANVIL PLATE</t>
  </si>
  <si>
    <t>P-00505-240-240-A</t>
  </si>
  <si>
    <t>LPLLU BASE PLATE</t>
  </si>
  <si>
    <t>P-00506</t>
  </si>
  <si>
    <t>LPLLU CV BASE SPACER</t>
  </si>
  <si>
    <t>P-00507</t>
  </si>
  <si>
    <t>P-00508</t>
  </si>
  <si>
    <t>LTU MID STOP RING</t>
  </si>
  <si>
    <t>P-00509</t>
  </si>
  <si>
    <t>LTU MID STOP CUSHION</t>
  </si>
  <si>
    <t>P-00510</t>
  </si>
  <si>
    <t>TORQUE ARM MOUNTING SCREWS</t>
  </si>
  <si>
    <t>P-00511</t>
  </si>
  <si>
    <t>LTU SATELLITE DRIVE MOUNT</t>
  </si>
  <si>
    <t>P-00512</t>
  </si>
  <si>
    <t>OFFSET LINK FOR #25 CHAIN</t>
  </si>
  <si>
    <t>P-00513</t>
  </si>
  <si>
    <t>SPRING GUIDE</t>
  </si>
  <si>
    <t>P-00514</t>
  </si>
  <si>
    <t>SPRING MOUNT</t>
  </si>
  <si>
    <t>P-00515</t>
  </si>
  <si>
    <t>LINE HINGE</t>
  </si>
  <si>
    <t>P-00516</t>
  </si>
  <si>
    <t>TRANSVERSE HINGE</t>
  </si>
  <si>
    <t>P-00517</t>
  </si>
  <si>
    <t>LATCH STRUT</t>
  </si>
  <si>
    <t>P-00518</t>
  </si>
  <si>
    <t>LATCH</t>
  </si>
  <si>
    <t>P-00519</t>
  </si>
  <si>
    <t>CLEVIS PIN</t>
  </si>
  <si>
    <t>P-00520</t>
  </si>
  <si>
    <t>TRANSVERSE REST BUTTON</t>
  </si>
  <si>
    <t>P-00521</t>
  </si>
  <si>
    <t>SPACER BEARING</t>
  </si>
  <si>
    <t>P-00522</t>
  </si>
  <si>
    <t>REST PLATE</t>
  </si>
  <si>
    <t>P-00523</t>
  </si>
  <si>
    <t>P-00524</t>
  </si>
  <si>
    <t>HANDLE</t>
  </si>
  <si>
    <t>P-00525</t>
  </si>
  <si>
    <t>COUPLING FOR 28 GEARBOX 12mm BORE</t>
  </si>
  <si>
    <t>P-00526</t>
  </si>
  <si>
    <t>ELECTRIC SEPARATING STOP</t>
  </si>
  <si>
    <t>P-00527</t>
  </si>
  <si>
    <t>SATELLITE DRIVE GUARD SHOE</t>
  </si>
  <si>
    <t>P-00528</t>
  </si>
  <si>
    <t>SATELLITE DRIVE GUARD COVER</t>
  </si>
  <si>
    <t>P-00529</t>
  </si>
  <si>
    <t>SPROCKET SPACER</t>
  </si>
  <si>
    <t>P-00530</t>
  </si>
  <si>
    <t>STATIC LTU TRANSVERSE STOP</t>
  </si>
  <si>
    <t>P-00531</t>
  </si>
  <si>
    <t>P-00532</t>
  </si>
  <si>
    <t>BASE PLATE</t>
  </si>
  <si>
    <t>P-00533</t>
  </si>
  <si>
    <t>DECK</t>
  </si>
  <si>
    <t>P-00534</t>
  </si>
  <si>
    <t>INNER SLIDE</t>
  </si>
  <si>
    <t>P-00535</t>
  </si>
  <si>
    <t>OUTER SLIDE</t>
  </si>
  <si>
    <t>OUTER GUDE</t>
  </si>
  <si>
    <t>P-00537</t>
  </si>
  <si>
    <t>OUTER WRAP</t>
  </si>
  <si>
    <t>P-00538</t>
  </si>
  <si>
    <t>CURVE RETURN PULLEY MOUNT</t>
  </si>
  <si>
    <t>P-00539</t>
  </si>
  <si>
    <t>CURVE DECK SPACER</t>
  </si>
  <si>
    <t>P-00540</t>
  </si>
  <si>
    <t>INNER RAIL MOUNTING POST</t>
  </si>
  <si>
    <t>P-00541</t>
  </si>
  <si>
    <t>OUTER GEARBOX MOUNT</t>
  </si>
  <si>
    <t>P-00542</t>
  </si>
  <si>
    <t>INNER GUIDE</t>
  </si>
  <si>
    <t>P-00557</t>
  </si>
  <si>
    <t>24VDC BASE PLATE</t>
  </si>
  <si>
    <t>P-00558</t>
  </si>
  <si>
    <t>14mm TO 12mm BORE REDUCER</t>
  </si>
  <si>
    <t>P-00559</t>
  </si>
  <si>
    <t>DRIVE PULLEY SPACER</t>
  </si>
  <si>
    <t>P-00560</t>
  </si>
  <si>
    <t>GUIDE SUPPORT BRACKET</t>
  </si>
  <si>
    <t>P-00561</t>
  </si>
  <si>
    <t>P-00562</t>
  </si>
  <si>
    <t>20 X 20 END CAP</t>
  </si>
  <si>
    <t>P-00563</t>
  </si>
  <si>
    <t>M8 X 60 SS CARRIAGE BOLT</t>
  </si>
  <si>
    <t>P-00564:56:30:5</t>
  </si>
  <si>
    <t>SIZE 30 GEARBOX IEC56 MOTOR FRAME</t>
  </si>
  <si>
    <t>P-00564:56:30:7.5</t>
  </si>
  <si>
    <t>P-00564:56:30:10</t>
  </si>
  <si>
    <t>P-00564:56:30:15</t>
  </si>
  <si>
    <t>P-00564:56:30:20</t>
  </si>
  <si>
    <t>P-00564:56:30:25</t>
  </si>
  <si>
    <t>P-00564:56:30:30</t>
  </si>
  <si>
    <t>P-00564:56:30:40</t>
  </si>
  <si>
    <t>P-00564:56:30:50</t>
  </si>
  <si>
    <t>P-00564:56:30:60</t>
  </si>
  <si>
    <t>P-00564:56:30:80</t>
  </si>
  <si>
    <t>P-00564:56:30:100</t>
  </si>
  <si>
    <t>P-00564:63:30:5</t>
  </si>
  <si>
    <t>SIZE 30 GEARBOX IEC63 MOTOR FRAME</t>
  </si>
  <si>
    <t>P-00564:63:30:7.5</t>
  </si>
  <si>
    <t>P-00564:63:30:10</t>
  </si>
  <si>
    <t>P-00564:63:30:15</t>
  </si>
  <si>
    <t>P-00564:63:30:20</t>
  </si>
  <si>
    <t>P-00564:63:30:25</t>
  </si>
  <si>
    <t>P-00564:63:30:30</t>
  </si>
  <si>
    <t>P-00564:63:30:40</t>
  </si>
  <si>
    <t>P-00564:63:30:50</t>
  </si>
  <si>
    <t>P-00564:63:30:60</t>
  </si>
  <si>
    <t>P-00564:63:30:80</t>
  </si>
  <si>
    <t>P-00564:63:30:100</t>
  </si>
  <si>
    <t>P-00564:71:40:5</t>
  </si>
  <si>
    <t>SIZE 40 GEARBOX IEC71 MOTOR FRAME</t>
  </si>
  <si>
    <t>P-00564:71:40:7.5</t>
  </si>
  <si>
    <t>P-00564:71:40:10</t>
  </si>
  <si>
    <t>P-00564:71:40:15</t>
  </si>
  <si>
    <t>P-00564:71:40:20</t>
  </si>
  <si>
    <t>P-00564:71:40:25</t>
  </si>
  <si>
    <t>P-00564:71:40:30</t>
  </si>
  <si>
    <t>P-00564:71:40:40</t>
  </si>
  <si>
    <t>P-00564:71:40:50</t>
  </si>
  <si>
    <t>P-00564:71:40:60</t>
  </si>
  <si>
    <t>P-00564:71:40:80</t>
  </si>
  <si>
    <t>P-00564:71:40:100</t>
  </si>
  <si>
    <t>P-00565:56:125</t>
  </si>
  <si>
    <t>P-00565:63:25</t>
  </si>
  <si>
    <t>P-00565:71:50</t>
  </si>
  <si>
    <t>P-00565:80:75</t>
  </si>
  <si>
    <t>P-00565:80:1</t>
  </si>
  <si>
    <t>P-00566</t>
  </si>
  <si>
    <t>LTU 24VDC MOTOR COLLAR</t>
  </si>
  <si>
    <t>P-00567</t>
  </si>
  <si>
    <t>M8 X 16 FLAT POINT SET SCREW</t>
  </si>
  <si>
    <t>P-00568</t>
  </si>
  <si>
    <t>ECCENTRIC SNUB SHAFT</t>
  </si>
  <si>
    <t>P-00569</t>
  </si>
  <si>
    <t>24mm STUB SHAFT</t>
  </si>
  <si>
    <t>P-00570</t>
  </si>
  <si>
    <t>SIZE 50 GEARBOX HANGAR</t>
  </si>
  <si>
    <t>P-00571</t>
  </si>
  <si>
    <t>SIZE 50 GEARBOX FLANGE</t>
  </si>
  <si>
    <t>P-00572</t>
  </si>
  <si>
    <t>24mm EXTERNAL RETAINING RING</t>
  </si>
  <si>
    <t>P-00573</t>
  </si>
  <si>
    <t>P-00574</t>
  </si>
  <si>
    <t>6 X 18 SS DOWEL PIN</t>
  </si>
  <si>
    <t>P-00575</t>
  </si>
  <si>
    <t>PALLET RAIL</t>
  </si>
  <si>
    <t>P-00576</t>
  </si>
  <si>
    <t>PALLET RAIL NUT</t>
  </si>
  <si>
    <t>P-00577</t>
  </si>
  <si>
    <t>ALUMINUM PALLET PLATE</t>
  </si>
  <si>
    <t>P-00578</t>
  </si>
  <si>
    <t>STAINLESS PALLET PLATE</t>
  </si>
  <si>
    <t>P-00579</t>
  </si>
  <si>
    <t>LIFTGATE LATCH HANDLE</t>
  </si>
  <si>
    <t>P-00580</t>
  </si>
  <si>
    <t>LIFTGATE GAS SPRING</t>
  </si>
  <si>
    <t>P-00581</t>
  </si>
  <si>
    <t>25mm STUB SHAFT</t>
  </si>
  <si>
    <t>P-00582</t>
  </si>
  <si>
    <t>25mm EXTERNAL RETAINING RING</t>
  </si>
  <si>
    <t>P-00583</t>
  </si>
  <si>
    <t>25mm STUB SHAFT BORE REDUCER</t>
  </si>
  <si>
    <t>P-00584</t>
  </si>
  <si>
    <t>NEMA 23 MOTOR FOR V28NF GEARBOX</t>
  </si>
  <si>
    <t>P-00585</t>
  </si>
  <si>
    <t>NEMA 24 MOTOR FOR V28NF GEARBOX IP65</t>
  </si>
  <si>
    <t>P-00586</t>
  </si>
  <si>
    <t>NEMA 34 MOTOR FOR V40NF GEARBOX</t>
  </si>
  <si>
    <t>P-00587</t>
  </si>
  <si>
    <t>NEMA 34 MOTOR FOR V40NF GEARBOX IP65</t>
  </si>
  <si>
    <t>P-00588</t>
  </si>
  <si>
    <t>NEMA 23/24 FLANGE FOR V28NF GEARBOX</t>
  </si>
  <si>
    <t>P-00589</t>
  </si>
  <si>
    <t>NEMA 34 FLANGE FOR V40NF GEARBOX</t>
  </si>
  <si>
    <t>P-00590</t>
  </si>
  <si>
    <t>P-00591</t>
  </si>
  <si>
    <t>P-00592</t>
  </si>
  <si>
    <t>NEMA 34 COUPLING FOR V40NF GEARBOX</t>
  </si>
  <si>
    <t>P-00593</t>
  </si>
  <si>
    <t>OPEN ENDED WHITE T5 BELT</t>
  </si>
  <si>
    <t>P-00594</t>
  </si>
  <si>
    <t>OPEN ENDED GREEN T5 BELT</t>
  </si>
  <si>
    <t>P-00595</t>
  </si>
  <si>
    <t>OPEN ENDED BLACK T5 BELT</t>
  </si>
  <si>
    <t>P-00596</t>
  </si>
  <si>
    <t>LEGSET BRACE</t>
  </si>
  <si>
    <t>P-00597:9</t>
  </si>
  <si>
    <t>VARVEL G3-9 COUPLING KIT</t>
  </si>
  <si>
    <t>P-00597:11</t>
  </si>
  <si>
    <t>VARVEL G3-11 COUPLING KIT</t>
  </si>
  <si>
    <t>P-00597:12</t>
  </si>
  <si>
    <t>P-00597:14</t>
  </si>
  <si>
    <t>VARVEL G3-14 COUPLING KIT</t>
  </si>
  <si>
    <t>P-00598</t>
  </si>
  <si>
    <t>S12 X 30 BHCS</t>
  </si>
  <si>
    <t>P-00599</t>
  </si>
  <si>
    <t>IDLER ARM</t>
  </si>
  <si>
    <t>P-00600</t>
  </si>
  <si>
    <t>CV MOUNTING BLOCK</t>
  </si>
  <si>
    <t>AL 1/4</t>
  </si>
  <si>
    <t>AL 3/8</t>
  </si>
  <si>
    <t>AL 1/2</t>
  </si>
  <si>
    <t>AL 5/8</t>
  </si>
  <si>
    <t>AL 3/4</t>
  </si>
  <si>
    <t>TJ 1/4</t>
  </si>
  <si>
    <t>TJ 3/8</t>
  </si>
  <si>
    <t>TJ 3/4</t>
  </si>
  <si>
    <t>2B 11ga</t>
  </si>
  <si>
    <t>2B 3/16</t>
  </si>
  <si>
    <t>UHMW 1.5</t>
  </si>
  <si>
    <t>UHMW 3</t>
  </si>
  <si>
    <t>ABS 6</t>
  </si>
  <si>
    <t>No finish</t>
  </si>
  <si>
    <t>Clear anodize</t>
  </si>
  <si>
    <t>BA</t>
  </si>
  <si>
    <t>Black anodize</t>
  </si>
  <si>
    <t>BO</t>
  </si>
  <si>
    <t>Black oxide</t>
  </si>
  <si>
    <t>BC</t>
  </si>
  <si>
    <t>Black Chromate</t>
  </si>
  <si>
    <t>EN</t>
  </si>
  <si>
    <t>Electroless Ni</t>
  </si>
  <si>
    <t>AR</t>
  </si>
  <si>
    <t>Armoloy</t>
  </si>
  <si>
    <t>BETA_FLAG</t>
  </si>
  <si>
    <t>SET to "TRUE" while in BETA DEVELOPMENT phases. Must be SET TO "FALSE" in PRODUCTION VERSION.</t>
  </si>
  <si>
    <t>SET to "TRUE" while in DEVELOPMENT phases. Must be SET TO "FALSE" in PRODUCTION  VERSION.</t>
  </si>
  <si>
    <t>LTU</t>
  </si>
  <si>
    <t>CV_HEADER</t>
  </si>
  <si>
    <t xml:space="preserve">   GLT - Transport (Conveyor) Unit</t>
  </si>
  <si>
    <t xml:space="preserve">   GLT1 - Single Strand Transport (Conveyor) Unit</t>
  </si>
  <si>
    <t xml:space="preserve">   SLS - Standard Legset</t>
  </si>
  <si>
    <t xml:space="preserve">   LTU - Lift Transfer Unit</t>
  </si>
  <si>
    <t xml:space="preserve">   SLLU - Standard Lift Locate Unit</t>
  </si>
  <si>
    <t xml:space="preserve">   PLT - Pallet</t>
  </si>
  <si>
    <t xml:space="preserve">   LGTL - In-line Liftgate</t>
  </si>
  <si>
    <t xml:space="preserve">   LGTT - Transverse Liftgate</t>
  </si>
  <si>
    <t xml:space="preserve">   CMOT - C-face B14 motor</t>
  </si>
  <si>
    <t xml:space="preserve">   NMOT - NEMA servo motor</t>
  </si>
  <si>
    <t>Ctrl+U</t>
  </si>
  <si>
    <t>GTLR</t>
  </si>
  <si>
    <t>GTTR</t>
  </si>
  <si>
    <t>GTLS</t>
  </si>
  <si>
    <t>TPS</t>
  </si>
  <si>
    <t>TIDS</t>
  </si>
  <si>
    <t>TTS</t>
  </si>
  <si>
    <t>TTM</t>
  </si>
  <si>
    <t>LSAT</t>
  </si>
  <si>
    <t>LSLV</t>
  </si>
  <si>
    <t>LTDM</t>
  </si>
  <si>
    <t>TCVL</t>
  </si>
  <si>
    <t>UHMW 5/16</t>
  </si>
  <si>
    <t>P-00564:80:50:5</t>
  </si>
  <si>
    <t>SIZE 50 GEARBOX IEC71 MOTOR FRAME</t>
  </si>
  <si>
    <t>P-00564:80:50:7.5</t>
  </si>
  <si>
    <t>P-00564:80:50:10</t>
  </si>
  <si>
    <t>P-00564:80:50:15</t>
  </si>
  <si>
    <t>P-00564:80:50:20</t>
  </si>
  <si>
    <t>P-00564:80:50:25</t>
  </si>
  <si>
    <t>P-00564:80:50:30</t>
  </si>
  <si>
    <t>P-00564:80:50:40</t>
  </si>
  <si>
    <t>P-00564:80:50:50</t>
  </si>
  <si>
    <t>P-00564:80:50:60</t>
  </si>
  <si>
    <t>P-00564:80:50:80</t>
  </si>
  <si>
    <t>P-00564:80:50:100</t>
  </si>
  <si>
    <t>CONVEYOR</t>
  </si>
  <si>
    <t xml:space="preserve">   LSB - Standard legset brace kit</t>
  </si>
  <si>
    <t>CONVEYOR LEGS AND CROSSMEMBERS</t>
  </si>
  <si>
    <t xml:space="preserve">   CCL - Conveyor connecting link</t>
  </si>
  <si>
    <t xml:space="preserve">   TLS - Tandem legset</t>
  </si>
  <si>
    <t>MOTORS</t>
  </si>
  <si>
    <t xml:space="preserve">   DCP - 24vdc motor for V28NF gearbox</t>
  </si>
  <si>
    <t>PALLETS AND DEVICES</t>
  </si>
  <si>
    <t xml:space="preserve">   CM - Crossmember kit</t>
  </si>
  <si>
    <t xml:space="preserve">   CMB- Lower crossmember kit</t>
  </si>
  <si>
    <t>TRAFFIC CONTROL</t>
  </si>
  <si>
    <t xml:space="preserve">   LGH - Liftgate handle</t>
  </si>
  <si>
    <t xml:space="preserve">   GTLR - In-line liftgate rest kit</t>
  </si>
  <si>
    <t xml:space="preserve">   GTTR - Liftgate transverse rest kit</t>
  </si>
  <si>
    <t xml:space="preserve">   STP - Pallet stop</t>
  </si>
  <si>
    <t xml:space="preserve">   DSTP - Pallet stop with damping 60kg</t>
  </si>
  <si>
    <t xml:space="preserve">   HSB - Pallet side sensor bracket</t>
  </si>
  <si>
    <t xml:space="preserve">   VSB - Pallet bottom sensor bracket</t>
  </si>
  <si>
    <t xml:space="preserve">   SSB - Stop sensor bracket</t>
  </si>
  <si>
    <t xml:space="preserve">      TPS - LTU position sensor mounting kit</t>
  </si>
  <si>
    <t xml:space="preserve">      TIDS - LTU trunk stop damper kit</t>
  </si>
  <si>
    <t xml:space="preserve">      TTS - LTU transverse stop kit</t>
  </si>
  <si>
    <t xml:space="preserve">      TTM - LTU transverse CV mount kit</t>
  </si>
  <si>
    <t xml:space="preserve">   BLL - Blade locator kit</t>
  </si>
  <si>
    <t xml:space="preserve">      DCMC - DC Motor controller</t>
  </si>
  <si>
    <t>GLIDE-LINE 360</t>
  </si>
  <si>
    <t xml:space="preserve">   GP - 360 Grip</t>
  </si>
  <si>
    <t xml:space="preserve">   HL - 360 Glide</t>
  </si>
  <si>
    <t xml:space="preserve">      LSAT - LTU satellite drive kit</t>
  </si>
  <si>
    <t xml:space="preserve">      LSLV - LTU slave drive kit</t>
  </si>
  <si>
    <t xml:space="preserve">      LTDM - LTU tandem drive kit</t>
  </si>
  <si>
    <t xml:space="preserve">   CRV - Curve</t>
  </si>
  <si>
    <t xml:space="preserve">   TCRV - Tandem Curve</t>
  </si>
  <si>
    <t xml:space="preserve">   FMB - Floor mount kit</t>
  </si>
  <si>
    <t xml:space="preserve">   VTUC - VTU crossmember/CV mount kit</t>
  </si>
  <si>
    <t xml:space="preserve">   JSFT - Gearbox jump shaft kit</t>
  </si>
  <si>
    <t xml:space="preserve">      TCVL - Tandem curve legset</t>
  </si>
  <si>
    <t xml:space="preserve">      GTLS - In-line liftgate legset</t>
  </si>
  <si>
    <t>MISCELLANEOUS</t>
  </si>
  <si>
    <t>cnewberry@nccas.com</t>
  </si>
  <si>
    <t>P-00565:71:75</t>
  </si>
  <si>
    <t>MOTOVARIO MOTOR IEC56 1/8 HP</t>
  </si>
  <si>
    <t>MOTOVARIO MOTOR IEC63 1/4 HP</t>
  </si>
  <si>
    <t>MOTOVARIO MOTOR IEC71 1/2 HP</t>
  </si>
  <si>
    <t>MOTOVARIO MOTOR IEC71 3/4 HP</t>
  </si>
  <si>
    <t>MOTOVARIO MOTOR IEC80 3/4 HP</t>
  </si>
  <si>
    <t>MOTOVARIO MOTOR IEC80 1 HP</t>
  </si>
  <si>
    <t>3/16" 2B PALLET PLATE NR</t>
  </si>
  <si>
    <t>3/16" 2B PALLET PLATE SR</t>
  </si>
  <si>
    <t>1/4" TJ PALLET PLATE NR</t>
  </si>
  <si>
    <t>1/4" TJ PALLET PLATE SR</t>
  </si>
  <si>
    <t>3/8" TJ PALLET PLATE NR</t>
  </si>
  <si>
    <t>3/8" TJ PALLET PLATE SR</t>
  </si>
  <si>
    <t>1/2" TJ PALLET PLATE NR</t>
  </si>
  <si>
    <t>1/2" TJ PALLET PLATE SR</t>
  </si>
  <si>
    <t>5/8" TJ PALLET PLATE NR</t>
  </si>
  <si>
    <t>5/8" TJ PALLET PLATE SR</t>
  </si>
  <si>
    <t>3/4" TJ PALLET PLATE NR</t>
  </si>
  <si>
    <t>3/4" TJ PALLET PLATE SR</t>
  </si>
  <si>
    <t>7/8" TJ PALLET PLATE NR</t>
  </si>
  <si>
    <t>7/8" TJ PALLET PLATE SR</t>
  </si>
  <si>
    <t>1" TJ PALLET PLATE NR</t>
  </si>
  <si>
    <t>1" TJ PALLET PLATE SR</t>
  </si>
  <si>
    <t>P-00632</t>
  </si>
  <si>
    <t>P-00633</t>
  </si>
  <si>
    <t>P-00634</t>
  </si>
  <si>
    <t>P-00635</t>
  </si>
  <si>
    <t>P-00636</t>
  </si>
  <si>
    <t>P-00637</t>
  </si>
  <si>
    <t>P-00638</t>
  </si>
  <si>
    <t>P-00639</t>
  </si>
  <si>
    <t>P-00640</t>
  </si>
  <si>
    <t>P-00641</t>
  </si>
  <si>
    <t>P-00642</t>
  </si>
  <si>
    <t>P-00643</t>
  </si>
  <si>
    <t>P-00644</t>
  </si>
  <si>
    <t>P-00645</t>
  </si>
  <si>
    <t>P-00646</t>
  </si>
  <si>
    <t>P-00647</t>
  </si>
  <si>
    <t>NEMA 23 BUSHING FOR G3-11 COUPLING</t>
  </si>
  <si>
    <t>NEMA 24 BUSHING FOR G3-11 COUPLING</t>
  </si>
  <si>
    <t>VARVEL G3-12 COUPLING KIT</t>
  </si>
  <si>
    <t>DEVICE DESCRIPTION</t>
  </si>
  <si>
    <t>DEVICE TYPE</t>
  </si>
  <si>
    <t>DEVICE PREVIEW PICTURE DESCRIPTIONS</t>
  </si>
  <si>
    <t>DEVICE PREVIEW PICTURE FILENAMES</t>
  </si>
  <si>
    <t>YOUTUBE VIDEO REFERENCES</t>
  </si>
  <si>
    <t>YES</t>
  </si>
  <si>
    <t>ASSEMBLY LABOR</t>
  </si>
  <si>
    <t>P-00000</t>
  </si>
  <si>
    <t>CUSTOM</t>
  </si>
  <si>
    <t>P-00001</t>
  </si>
  <si>
    <t>SHOP LABOR</t>
  </si>
  <si>
    <t>P-00002</t>
  </si>
  <si>
    <t>P-00003</t>
  </si>
  <si>
    <t>ENGINEERING LABOR</t>
  </si>
  <si>
    <t>P-00004</t>
  </si>
  <si>
    <t>PROGRAMMING LABOR</t>
  </si>
  <si>
    <t>P-00005</t>
  </si>
  <si>
    <t>CNC PROGRAMMING LABOR</t>
  </si>
  <si>
    <t>P-00006</t>
  </si>
  <si>
    <t>WATER JET PROCESSING</t>
  </si>
  <si>
    <t>P-00007</t>
  </si>
  <si>
    <t>CNC PROCESSING</t>
  </si>
  <si>
    <t>P-00008</t>
  </si>
  <si>
    <t>PM LABOR</t>
  </si>
  <si>
    <t>P-00009</t>
  </si>
  <si>
    <t>FIELD SERVICE LABOR</t>
  </si>
  <si>
    <t>E</t>
  </si>
  <si>
    <t>P-00271</t>
  </si>
  <si>
    <t>P-00272</t>
  </si>
  <si>
    <t>P-536</t>
  </si>
  <si>
    <t>P-543</t>
  </si>
  <si>
    <t>P-00544</t>
  </si>
  <si>
    <t>TANDEM CURVE BASE PLATE</t>
  </si>
  <si>
    <t>P-00545</t>
  </si>
  <si>
    <t>TANDEM CURVE INNER SLIDE</t>
  </si>
  <si>
    <t>P-00546</t>
  </si>
  <si>
    <t>TANDEM CURVE OUTER SLIDE</t>
  </si>
  <si>
    <t>P-547</t>
  </si>
  <si>
    <t>TANDEM CURVE OUTER GUIDE</t>
  </si>
  <si>
    <t>P-548</t>
  </si>
  <si>
    <t>TANDEM CURVE INNER GUIDE</t>
  </si>
  <si>
    <t>P-00549</t>
  </si>
  <si>
    <t>TANDEM CURVE OUTER WRAP</t>
  </si>
  <si>
    <t>P-00550</t>
  </si>
  <si>
    <t>TANDEM CURVE DECK</t>
  </si>
  <si>
    <t>P-00612</t>
  </si>
  <si>
    <t>STANDARD LLLU LIFT PLATE</t>
  </si>
  <si>
    <t>P-00613</t>
  </si>
  <si>
    <t>LLLU MOUNTING PLATE</t>
  </si>
  <si>
    <t>P-00614</t>
  </si>
  <si>
    <t>LLLU CYLINDER SPACER</t>
  </si>
  <si>
    <t>P-00615</t>
  </si>
  <si>
    <t>LLLU MOUNTING SPACER</t>
  </si>
  <si>
    <t>P-00616</t>
  </si>
  <si>
    <t>P-00617</t>
  </si>
  <si>
    <t>P-00624</t>
  </si>
  <si>
    <t>CLAMP COLLAR</t>
  </si>
  <si>
    <t>P-00627</t>
  </si>
  <si>
    <t>P-00628</t>
  </si>
  <si>
    <t>HLLU ANVIL PLATE</t>
  </si>
  <si>
    <t>P-00629</t>
  </si>
  <si>
    <t>HLLU TOOL PLATE</t>
  </si>
  <si>
    <t>P-00630</t>
  </si>
  <si>
    <t>P-00631</t>
  </si>
  <si>
    <t>LOW HEAD CAP SCREW</t>
  </si>
  <si>
    <t>P-00649</t>
  </si>
  <si>
    <t>INPUT EXT TUBE SIZE 40</t>
  </si>
  <si>
    <t>P-00650</t>
  </si>
  <si>
    <t>24VDC MOT FLANGE SIZE 40 GB</t>
  </si>
  <si>
    <t>P-00655</t>
  </si>
  <si>
    <t>60kg LTU TRANSVERSE DAMPER BRACKET</t>
  </si>
  <si>
    <t>P-00659</t>
  </si>
  <si>
    <t>LTU STOP POST</t>
  </si>
  <si>
    <t>P-00660</t>
  </si>
  <si>
    <t>POSITIONER</t>
  </si>
  <si>
    <t>P-00661</t>
  </si>
  <si>
    <t>ROUND PIN</t>
  </si>
  <si>
    <t>P-00662</t>
  </si>
  <si>
    <t>DIAMOND PIN</t>
  </si>
  <si>
    <t>P-00699</t>
  </si>
  <si>
    <t>LOAD INSERT</t>
  </si>
  <si>
    <t>P-00700</t>
  </si>
  <si>
    <t>FRU CYLINDER MOUNT</t>
  </si>
  <si>
    <t>P-00701</t>
  </si>
  <si>
    <t>FRU LIFT PAD</t>
  </si>
  <si>
    <t>P-00716</t>
  </si>
  <si>
    <t>FRU LIFT PAD SPACER</t>
  </si>
  <si>
    <t>P-00743:6.5</t>
  </si>
  <si>
    <t>POSITIONER STROKE LIMITER 6.5</t>
  </si>
  <si>
    <t>P-00743:8</t>
  </si>
  <si>
    <t>POSITIONER STROKE LIMITER 8</t>
  </si>
  <si>
    <t xml:space="preserve">   VTLS - Vertical Tandem legset</t>
  </si>
  <si>
    <t>VTLS</t>
  </si>
  <si>
    <t xml:space="preserve">      TTDS - LTU transverse stop damper kit</t>
  </si>
  <si>
    <t>TTDS</t>
  </si>
  <si>
    <t xml:space="preserve">   LPK - Lift Position Kit</t>
  </si>
  <si>
    <t>LPK</t>
  </si>
  <si>
    <t xml:space="preserve">   LLLU - Low Profile Lift Locate Unit</t>
  </si>
  <si>
    <t>LLLU</t>
  </si>
  <si>
    <t xml:space="preserve">   HLLU - Heavy Duty Lift Locate Unit</t>
  </si>
  <si>
    <t>HLLU</t>
  </si>
  <si>
    <t>ALC (Custom)</t>
  </si>
  <si>
    <t>ALC</t>
  </si>
  <si>
    <t>P-00625</t>
  </si>
  <si>
    <t>P-00626</t>
  </si>
  <si>
    <t>P-00761</t>
  </si>
  <si>
    <t>GUIDED ALUMINUM SLIDER BED SECTION</t>
  </si>
  <si>
    <t>CROWNED ALUMINUM ROLLER</t>
  </si>
  <si>
    <t>SLIDER BED RETAINER</t>
  </si>
  <si>
    <t>P-00766</t>
  </si>
  <si>
    <t>UNGUIDED ALUMINUM SLIDER BED SECTION</t>
  </si>
  <si>
    <t>P-00772</t>
  </si>
  <si>
    <t>SLIDER BED RETAINER SCREWS</t>
  </si>
  <si>
    <t>P-00759</t>
  </si>
  <si>
    <t>F</t>
  </si>
  <si>
    <t>controllers</t>
  </si>
  <si>
    <t>P-00336</t>
  </si>
  <si>
    <t>45 X 90 EXTRUSION</t>
  </si>
  <si>
    <t>P-00687</t>
  </si>
  <si>
    <t>BRACED SIZE 40 GEARBOX HANGAR</t>
  </si>
  <si>
    <t>P-00754</t>
  </si>
  <si>
    <t>HANGAR SPACER</t>
  </si>
  <si>
    <t>P-00756</t>
  </si>
  <si>
    <t>45 X 90 BRACKET</t>
  </si>
  <si>
    <t>P-00757</t>
  </si>
  <si>
    <t>FIXED STOP BLOCK</t>
  </si>
  <si>
    <t>P-00758</t>
  </si>
  <si>
    <t>45 DEGREE ANGLED GUSSET</t>
  </si>
  <si>
    <t>GL SHAFT GUARD PROFILE</t>
  </si>
  <si>
    <t>TJ 1</t>
  </si>
  <si>
    <t>UHMW 3/4</t>
  </si>
  <si>
    <t xml:space="preserve">   CCB - Configurable Cross Brace</t>
  </si>
  <si>
    <t xml:space="preserve">   FSK - Fixed Stop Kit</t>
  </si>
  <si>
    <t xml:space="preserve">   PFL - Structural Profile</t>
  </si>
  <si>
    <t xml:space="preserve">   CAP - Structural Profile End Cap</t>
  </si>
  <si>
    <t xml:space="preserve">   BRK - Structural Profile Bracket</t>
  </si>
  <si>
    <t>CCB</t>
  </si>
  <si>
    <t>FSK</t>
  </si>
  <si>
    <t>PFL</t>
  </si>
  <si>
    <t>CAP</t>
  </si>
  <si>
    <t>BRK</t>
  </si>
  <si>
    <t>LOCATION_FLAG</t>
  </si>
  <si>
    <t>REMOTE</t>
  </si>
  <si>
    <t>LOCAL OR REMOTE</t>
  </si>
  <si>
    <t>IMPACT_REMOTE_PATH</t>
  </si>
  <si>
    <t>ImpactData_Major_Version</t>
  </si>
  <si>
    <t>ImpactData_Minor_Version</t>
  </si>
  <si>
    <t>ImpactData_Revision_Number</t>
  </si>
  <si>
    <t>ImpactData_Version</t>
  </si>
  <si>
    <t>ImpactData_ModifiedDate</t>
  </si>
  <si>
    <t>Deviceutilitychanges_FLAG</t>
  </si>
  <si>
    <t>Ctrl+R</t>
  </si>
  <si>
    <t>IMPACTDATA_TABLES</t>
  </si>
  <si>
    <t>IMPACTDATA_VERSION_LATEST</t>
  </si>
  <si>
    <t>C:\IMPACT\Glide-Line</t>
  </si>
  <si>
    <t>Standard Installation PATH for IMPACT DATA FILES (UTILITIES, IMAGES, SOLIDWORKS)</t>
  </si>
  <si>
    <t>ImpactData_ModifiedDate_LATEST</t>
  </si>
  <si>
    <t>IMPACTData Version of the Data Tables file that is on the REMOTE SERVER or the LOCAL Copy</t>
  </si>
  <si>
    <t>Used for VERSION Control.  IMPACTDATA file Modification Date for the TABLES in THIS WORKBOOK</t>
  </si>
  <si>
    <t>Used for VERSION Control.  TABLE UPDATES will be completed if there is a NEWER (LATEST) file.</t>
  </si>
  <si>
    <t>IMPACTDATA_VERSION_CURRENT</t>
  </si>
  <si>
    <t>ImpactData_ModifiedDate_CURRENT</t>
  </si>
  <si>
    <t>IMPACT_VERSION_CURRENT</t>
  </si>
  <si>
    <t>Current IMPACTData Version of the Data Tables in this workbook.</t>
  </si>
  <si>
    <t>IMPACT_Major_Version</t>
  </si>
  <si>
    <t>IMPACT_Minor_Version</t>
  </si>
  <si>
    <t>IMPACT_Revision_Number</t>
  </si>
  <si>
    <t>IMPACT_Version</t>
  </si>
  <si>
    <t>IMPACT_ModifiedDate</t>
  </si>
  <si>
    <t>Used to determine if "SPLASH" screen is displayed.  Set to FALSE when user is working with DEVICE UTILITIES</t>
  </si>
  <si>
    <t>IMPACT - DEFAULT GENERAL PARAMETERS</t>
  </si>
  <si>
    <t>Used to set the REGISTERED_FLAG when USER enters Correct Registration Code</t>
  </si>
  <si>
    <t>GL_REGISTRATION_CODE</t>
  </si>
  <si>
    <t>IMPACT_ModifiedDate_CURRENT</t>
  </si>
  <si>
    <t>IMPACT_VERSION_LATEST</t>
  </si>
  <si>
    <t>IMPACT_ModifiedDate_LATEST</t>
  </si>
  <si>
    <t>VERSION CONTROL PARAMETERS</t>
  </si>
  <si>
    <t>LATEST IMPACT version number</t>
  </si>
  <si>
    <t>Current DATETIMESTAMP FOR IMPACT</t>
  </si>
  <si>
    <t>LATEST DATETIMESTAMP FOR IMPACT</t>
  </si>
  <si>
    <t>IMPACT APPLICATION VERSION CONTROL PARAMETERS</t>
  </si>
  <si>
    <t>IMPACTDATA TABLES VERSION CONTROL PARAMETERS</t>
  </si>
  <si>
    <r>
      <t xml:space="preserve">LOCATION (FOLDER) of </t>
    </r>
    <r>
      <rPr>
        <b/>
        <sz val="11"/>
        <color rgb="FFFF0000"/>
        <rFont val="Calibri"/>
        <family val="2"/>
        <scheme val="minor"/>
      </rPr>
      <t>USERs</t>
    </r>
    <r>
      <rPr>
        <sz val="11"/>
        <color theme="1"/>
        <rFont val="Calibri"/>
        <family val="2"/>
        <scheme val="minor"/>
      </rPr>
      <t xml:space="preserve"> COPY of the IMPACT ORDER SUMMARY WORKBOOK,  This value is updated each time the user creates a COPY of the original IMPACT Application.</t>
    </r>
  </si>
  <si>
    <t>PARAMETER VALUE</t>
  </si>
  <si>
    <t>OPERATION PARAMETERS</t>
  </si>
  <si>
    <t>Revision Number</t>
  </si>
  <si>
    <t>UserID</t>
  </si>
  <si>
    <t>Base Build for MAJOR VERSION 2.0</t>
  </si>
  <si>
    <t>Changed DeviceSelection Userform to use "AddItem" method.  Only display "ALC Custom" if GLInternalFlag is TRUE</t>
  </si>
  <si>
    <t>Changed DeviceSelection LISTBOX Height so the last device can be displayed.  Required to offet setting the "IntegralHeight" Property in 5006</t>
  </si>
  <si>
    <t>Add code to update the DEVICE_UTILITY_TABLE if admin user selects the option button on ADMIN sheet</t>
  </si>
  <si>
    <t>Created TableExists  Function to test if user selected a file that contains the correct Table (ListObject)</t>
  </si>
  <si>
    <t>Add feature to allow GL Internal Users to RemoveSolidWorksLink for selected devices</t>
  </si>
  <si>
    <t>Fixed problem with code that creates Production versions of the IMPACTDATA file</t>
  </si>
  <si>
    <t>Added DblClick event handler for DeviceSelection Listbox. Users to "Double-Click" on a Device in the List to open the Device Utility (instead of pressing "OK"</t>
  </si>
  <si>
    <t>Updated ALL TABLES with data from Client's LAST DEVELOPMENT VERSION - Glide-Line IMPACT v1-0-4006 DEVELOPMENT 3-6-2020.xlsm</t>
  </si>
  <si>
    <t>Re-Updated ALL TABLES.. Previous Version didn't appear to work</t>
  </si>
  <si>
    <t>IMPACT  PARAMETERS</t>
  </si>
  <si>
    <t>Fixed RangeName issue with IMPACT_PARAMETERS.  General ADMIN sheet cleanup.</t>
  </si>
  <si>
    <t>Fixed RESET code to hardcode the SERVER URL for IMPACT_INSTALL_PATH.  Next update will use "LOCAL" vs "REMOTE" Flag to set the value</t>
  </si>
  <si>
    <t>RCS</t>
  </si>
  <si>
    <t>Updated part counting module to strip SW file extensions. Updated registration dialog text. Hid CTRL-G line on Summary page. Added path formulas in IMPACT_USERCOPY_FULLNAME and IMPACT_USERCOPY_NAME fields on the ADMIN sheet.</t>
  </si>
  <si>
    <t>Deleted CTRL-G line on Summary page - Changed Registration code</t>
  </si>
  <si>
    <t>Base Build from CLIENT VERSION 2.0.0014</t>
  </si>
  <si>
    <t>Excelatone LLC - APC</t>
  </si>
  <si>
    <t>Fixed Revision Number formatting</t>
  </si>
  <si>
    <t>Changed CreateImpactData code to copy FORMULAS to IMPACTDATA file (for INTERNAL Use).  Replaced IMPACT_Export form with client update</t>
  </si>
  <si>
    <t>Replaced "IMPACT Export" userform with new version from client.  Changed "Enabled" property for "PreviewImg" to "FALSE" in frmSelectDeviceUtility form to fix image refresh issue.</t>
  </si>
  <si>
    <t>NCC Glide-Line IMPACT DATA Tables File</t>
  </si>
  <si>
    <t>Moved ChangeLog History prior to Base Build for MAJOR VERSION 2.0 To IMPACT Change Log Archive file.  Copied Versioning formulas to ImpactData Change Log</t>
  </si>
  <si>
    <t>Fixed issues with Change Log table names &amp; versioning formulas</t>
  </si>
  <si>
    <t>Changed Update_ApplicationTables - Version 2.0 enables the import of FORMULAS from the Data Tables instead of VALUES. Added ImportTables_FROM_IMPACTDATA module</t>
  </si>
  <si>
    <t>Changed Create_Production_IMPACTDATA_Files code to keep the DEVICE UTILITY TBL VISIBLE in IMPACTDATA File.</t>
  </si>
  <si>
    <t>REMOVED (Comment Out) Code for "IMPACT_INSTALL_PATH =".  IMPACT_INSTALL_PATH is now a PUBLIC Variable and is set with Workbook_Open Event</t>
  </si>
  <si>
    <t>Removing DIM'd variables that are now PUBLIC variables</t>
  </si>
  <si>
    <t>Review and modifications to Update_ApplicationTables routine</t>
  </si>
  <si>
    <t>MOVED ALL PRELIM CODE from  A_InitializePublicVars Module to A_SetupProcs Module.  Removed A_InitializePublicVars Module</t>
  </si>
  <si>
    <t>Completed coding of logic to only do IMPACTDATA Version checking if USER is CUSTOMER and to Update_ApplicationTables if IMPACTDATA Versions are Different (Current vs Latest)</t>
  </si>
  <si>
    <t>Added ErrorHandler method in GetDeviceImagefromServer routine. If image isn't downloaded, DeviceDescription displays error message.  May want something else to occur?</t>
  </si>
  <si>
    <t>Added code to copy ImpactData Change Log data to Production versions of ImpactData file.</t>
  </si>
  <si>
    <t>Modified Create_IMPACTDATA_PRODUCTION_VERSIONS routine to stop saving ARCHIVE COPIES of the files</t>
  </si>
  <si>
    <t>Added Code to DELETE TEMP files used in the Create Production Version routines.  REPLACED LOGO on Summary Worksheet</t>
  </si>
  <si>
    <t>Created Export_CUSTOMER_COPY routine to convert INTERNAL USER COPY of IMPACT to enable use by CUSTOMER</t>
  </si>
  <si>
    <t>Cleanup of SHORTCUT code &amp; ADMIN BUTTON Code</t>
  </si>
  <si>
    <t>Added ErrorHandler to ADMIN button routines to prevent customers from trying to use.</t>
  </si>
  <si>
    <t>Added error handling to A_CreateProductionIMPACTData if the IMPACTDATA Template.xlsm file cannot be located.</t>
  </si>
  <si>
    <t>LOCATION of IMPACT DATA FILES (IMPACTDATA, DEVICE UTILITIES, SOLIDWORKS FILES</t>
  </si>
  <si>
    <t>Modified Export_CUSTOMER_COPY code.  Set "DEVELOPMENT_MODE" to FALSE. Changed Description for IMPACT_INSTALL_PATH</t>
  </si>
  <si>
    <t>Moved Lock code to start of OPEN Event</t>
  </si>
  <si>
    <t>Added new feature: Import_ImpactDataTable_Data.  This allows user to SELECT the WORKBOOK that contains the IMPACT DATA TABLES to be imported</t>
  </si>
  <si>
    <t>CHANGED Public Variable name "IMPACT_INSTALL_PATH" to "IMPACT_Installation_Path" for clarity</t>
  </si>
  <si>
    <t>RESET the IMPACT_INTALL_PATH on EVERY SAVE to prevent saving the INTERNAL URL</t>
  </si>
  <si>
    <t>Changed BeforeSave and AfterSave code.  Removed calls to UNHIDE (HIDE) _GL_INTERNAL_Fields_AfterSave. Replaced with call to  GL_INTERNAL_AccessControl</t>
  </si>
  <si>
    <t>REMOVED "IF Development_MODE" code.  May need to revisit, but since the "DEVELOPMENT MASTER" is used like an unprotected PRODUCTION copy, then certain actions must still take place like recording the IMPACT Summary Filename and Path</t>
  </si>
  <si>
    <t>Removed "If Development_MODE" code from BEFORE SAVE event to ensure the code is executed in both public and private (internal) copies</t>
  </si>
  <si>
    <t>Changed Initial Filename in GetOpenFilename for Import IMPACT Data Tables to *.xlsm</t>
  </si>
  <si>
    <t>Added code to Update_ApplicationTables to update the IMPACTDATA_VERSION_CURRENT with the IMPACT_VERSION_LATEST after successful UPDATE</t>
  </si>
  <si>
    <t>Material Type</t>
  </si>
  <si>
    <t>Dummy Entry for IMPACT Development Version.  Reset Version to 2.0.0001 to force Application Tables Update on OPEN</t>
  </si>
  <si>
    <t>Reset IMPACTDATA Version to 2.0.0001 to force Application Tables Update on OPEN</t>
  </si>
  <si>
    <t>CHANGED IMPACT_REMOTE_PATH to https://remote.nccas.com:433/GlideInternal/Glide-Line</t>
  </si>
  <si>
    <t>Standard PUBLIC SERVER URL that contains the IMPACT DATA FILES</t>
  </si>
  <si>
    <t>Multiple fixes to BEFORE/AFTER SAVE Events.  Added check for FwdSlash in URL Path.  Added back code to HIDE INTERNAL COLUMNS with EVERY FILE Save</t>
  </si>
  <si>
    <t>Added Error Handling routines.  Commented out code that was changing the ImpactData_Version</t>
  </si>
  <si>
    <t>Fixed code to enable the REMOVE SolidWorks Link button to be available to all users</t>
  </si>
  <si>
    <t>Relocked VBA Project</t>
  </si>
  <si>
    <t>Changes did not solve problem.. Version Rescinded</t>
  </si>
  <si>
    <t>Modifed Workbook_Open Event from last PRODUCTION release to fix problem with errors when trying to create a PRODUCTION VERSION</t>
  </si>
  <si>
    <t>UPDATE IMPACTDATA TABLES</t>
  </si>
  <si>
    <t>RESET SUMMARY and INTERNAL TABLES</t>
  </si>
  <si>
    <t>Added Shortcut (CTRL+E) to run EXPORT CUSTOMER COPY routine</t>
  </si>
  <si>
    <t>Added InternetServerOK to OPEN Event to prevent Excel from hanging</t>
  </si>
  <si>
    <t>Reverted WORKBOOK_OPEN code to v2.0.0035 (last working version). Added  InternetServerOK function to check for Internet or Server problems.</t>
  </si>
  <si>
    <t>Modified ImportData Table function.  Added DeleteURLCache to delete IMPACTDATA cached copy</t>
  </si>
  <si>
    <t>Added Lockdown calls to GLINTERNAL_ACCESS and other subs that need the SUMMARY sheet to be UNPROTECTED to Hide or UnHide Columns or recalc button</t>
  </si>
  <si>
    <t>Removed changes in 57.  Replaced with LOCKDOWN TRUE before every call to GL_INTERNALACCESS</t>
  </si>
  <si>
    <t>Errata</t>
  </si>
  <si>
    <t>Fixed Recalc_All to skip process if there are no records in the Summary Table (causes a blank record to be added otherwise)</t>
  </si>
  <si>
    <t>Replaced "END" in GetDeviceImagefromServer with UNLOAD ME.  Exit the routine if IMPACT can't find the IMAGE file (missing, internet or server problem)</t>
  </si>
  <si>
    <t>Replaced UNLOAD ME  in GetDeviceImagefromServer with NOTHING.  The form is redisplayed after an error.  Exit Sub is not working</t>
  </si>
  <si>
    <t>UPDATE_APPLICATIONTABLES Routine - added line to reset CURRENT VERSION to "1", so  tables are always updated with the appropriate INTERNAL OR PUBLIC TABLES</t>
  </si>
  <si>
    <t>Major rewrite of Create_IMPACT_Production_File routine.  Removed the change in 63 that forced table updates regardless of need.</t>
  </si>
  <si>
    <t>REMOVED WORKBOOK PROTECTION.  Not sure how the workbook was protected in 64 while changes were being made</t>
  </si>
  <si>
    <t>Moved Code changes from 64 into 63.  Version 65 protects workbook with every SAVE, but must be corrupt since error doesn’t happen in 63 and now appears fixed in this version</t>
  </si>
  <si>
    <t>Refreshed copy</t>
  </si>
  <si>
    <t>Refreshed copy2</t>
  </si>
  <si>
    <t>Changed ADMIN Internal Use BUTTONS to ignore whether user has the GLInternalEnable.key file per client request</t>
  </si>
  <si>
    <t>Added unprotect code calls as a "failsafe" should the workbook somehow get's protected - still can't isolate reason this happens</t>
  </si>
  <si>
    <t>REMOVED "failsafe" code lines.  Not working as expected</t>
  </si>
  <si>
    <t>GLT Conveyor: The foundation of the Glide-Line pallet handling system is a multi-strand conveyor designed to transport work piece pallets and other media from workstation to workstation. Transport conveyors offer multiple connection alternatives to suit a variety of assembly system requirements and are available with multiple power input options as well, including 24VDC motors. Click "Play Video" to watch a short clip on all of our "360 Solutions" |GLT Multi-Strand Conveyors: Glide Line Conveyors offer an exceptional amount of design flexibility, easily allowing users the ability to create multi-strand conveyor systems for handling wide objects. Adding conveyor strands increases the available capacity of the conveyor, as well as distributing the load along the conveyed surface.|Click "Play Video" to watch a quick belt change demostration</t>
  </si>
  <si>
    <t>GLT|GLT3|GLT2</t>
  </si>
  <si>
    <t>DlidRMYuvfw|NONE|mhztrHfCfG8&amp;t</t>
  </si>
  <si>
    <t>GLT1 - Single Strand Conveyor</t>
  </si>
  <si>
    <t>PLT|PLTSR|PLTEX|SPLASH</t>
  </si>
  <si>
    <t>NONE|iPR-Mju9ewY|NONE|mBoa4HVYE8s</t>
  </si>
  <si>
    <t>LTU - Lift Transfer Unit: The Lift and Transfer Unit is designed to transfer pallets onto adjacent conveyor lines. The device is highly configurable to accommodate many types of applications and traffic handling situations. | 2 Position LTU: In this example, pallets are conveyed on a main line, and stopped by the LTU stop plate. The LTU begins in its Middle position, and when a pallet is present, goes to the High position to transfer the pallet to a transverse line. A dampener can be added to the LTU if required. This configuration is typical for the corner of a system where two conveyors meet and traffic is in one direction. | 3 Position LTU Example 1: In this example, pallets are conveyed on a main line, and upon reaching the LTU (default Middle position), can either go Low to continue on the main line, or the LTU can go to the High position and transfer onto either of the Transverse lines.|3 Position LTU Example 2: In this example, pallets are conveyed to the LTU from a Transverse line. LTU receives the pallet in the High position, and pallet is stopped by a pair of fixed transverse stops (dampened versions available). The LTU then drops to the Low position, allowing the pallet to be conveyed in either direction. |3 Postion LTU Example 3: In this example, pallets come to the LTU via either the main line or a transverse line. Pre-stops control traffic to the LTU. The LTU can go to High position to receive pallets from the transverse line and combine them with the pallet flow on the main line. The LTU can also drop to the Low position and allow pallets on the main line to pass by freely|Slave Driven LTU to Conveyor: The Lift and Transfer Unit (LTU) is capable of being slaved to a nearby transverse conveyor. This setup is great for minimizing the total drives required to power a system, decreasing controls costs. Drive position for the conveyor must be 132mm from the end for a standard configuration. Slave kits must be ordered for each LTU required to be slaved. |Slave Drive LTU to LTU: Multiple LTU’s can be slaved together, allowing parallel conveyor lines the ability to have easy, consistent transfers and reduce drives. The slave kit is chain and sprocket driven, the conveyors must be spaced 45mm apart, and a roller gap kit must be used. Slave kits must be ordered for each individual LTU required to be slaved for the application. | Click "Play Video" to see a demo on how to configure a Lift and Transfer in IMPACT</t>
  </si>
  <si>
    <t>LTU|LTU 2 POSITION|LTU 3 POSITION|LTU3|LTU4|LTUSLV|LTUTSLV|SPLASH</t>
  </si>
  <si>
    <t>NONE|NONE|NONE|NONE|NONE|NONE|NONE|xLXJIKCTYXg</t>
  </si>
  <si>
    <t>CRV - Curve: Curve units are slave driven to the adjacent conveyor. Drive box position must be set to 187mm. Click "Play Video" to watch a short clip of our curves in action!| Curve units untilize a series of idler pulleys to guide the round curve belt| Click "Play Video" to see a demo on how to configure a curve in IMPACT</t>
  </si>
  <si>
    <t>CRV|CRVDETAIL|SPLASH</t>
  </si>
  <si>
    <t>iPR-Mju9ewY|NONE|7eCz4oUobu0</t>
  </si>
  <si>
    <t>TCVL - Tandem Curve: Tandem curves (or 180 degree curves) allow pallets to transfer to/from parallel conveyor lanes, maintaining the leading edge orientation of the pallet.| The gap between conveyors on a tandem curve can range between 45mm to 350mm</t>
  </si>
  <si>
    <t>TCRV|TCRV2</t>
  </si>
  <si>
    <t>VqEad7TIYzM|VqEad7TIYzM</t>
  </si>
  <si>
    <t>pkqE-Du5XtA|NONE|NONE</t>
  </si>
  <si>
    <t xml:space="preserve">LPK - Lift Position Kit: a highly configurable device, specifically designed for larger pallets that allows one to locate only, lift only, or both lift and locate. This device mounts directly to the bottom of the conveyor T-slot. When locating, the position cylinders are capable of repeatable, positional accuracy within ±.05mm.| Lift Only Configuration - For applications that do not require location accuracy, this configuration can be used to lift the pallet off the belt. For heavy accumulation applications, this configuration can be used to lessen the total load on the conveyor and provide friction relief.  </t>
  </si>
  <si>
    <t>LPK|LPKPIC2</t>
  </si>
  <si>
    <t>SLLU - Standard Lift Locate Unit: offers fully configurable vertical lift positioning, and it is suitable for applications that require repeatable, positional accuracy within ±.05mm.|There are two stroke configuration options: 40mm or 200mm stroke units. The unit comes standard with a hydraulic shock absorber to allow for a cushioned upstroke. Lift height can be adjusted by moving the bottom strike plate to the required position, and fine adjustment can be completed utilizing the shock absorber mount. | Each unit also includes two sensor mounting rails if stroke detection is required. The SLLU can be conveyor mounted or station mounted. Guarding for the bottom actuator is available.|  Click "Play Video" to see a demo on how to configure a SLLU in IMPACT</t>
  </si>
  <si>
    <t>SLLU|SLLUPIC1|SLLUPIC2|SPLASH</t>
  </si>
  <si>
    <t>hF2DB-ffDWQ|NONE|NONE|zOMeMXzDTiQ&amp;t=25s</t>
  </si>
  <si>
    <t>LLLU - Low-Profile Lift Locate Unit: offers vertical lift positioning in a small footprint, and it is suitable for applications that require repeatable, positional accuracy within ±.05mm. This unit has a vertical stroke of 1.5mm above the belt. Click the "Play Video" button to watch a video on the LLLU.| The low-profile design allows the LLLU to be used in situations that have limited clearance below the conveyor. However, this unit will require customization for pallet sizes exceeding 400mm. See LPK in this case.|</t>
  </si>
  <si>
    <t>LLLU|LLLUPIC1</t>
  </si>
  <si>
    <t>FVnQT0UwyOY|NONE</t>
  </si>
  <si>
    <t>HLLU - Heavy-Duty Lift Locate Unit: delivers repeatable, positional accuracy within ±.05mm. The vertical lift position is fixed at 1.5mm above the belt, and the unit is designed to handle heavy loads for press operations such as swaging and ultrasonic welding. | This unit utilizes a pneumatic shuttle that slips between the baseplate and the lift anvil once the pallet is raised into position. Heavy Duty Units must be station-mounted on suitable structures to absorb the required loads; accuracy and repeatability are relative to the mounting structure.The 40mm bore cylinder supports a lift capacity up to 150lbs., while the load absorption capacity when in locked position is up to 20,000 Lbs. For off-centered loads and/or larger pallets, customizations can be made to accommodate this requirement. Click the "Play Vdeo" button to see a custom HLLU we have made before!</t>
  </si>
  <si>
    <t>HLLU|HLLUPIC1</t>
  </si>
  <si>
    <t>NONE|HxEExnm0ZPs</t>
  </si>
  <si>
    <t>LGTL - In-Line Liftgate: The Glide-Line™ Lift Gate offers an ideal operator pass-through solution for conveyor lines that inhibit access to areas of equipment. The ergonomic, pneumatically-assisted lever action is ideal for safe ingress and egress of workers in a production cell. Click the "Play Video" button to watch a video on the In-Line Liftgate | Liftgate conveyors can be up to 1200mm long and must have its drive position at least 180mm away from the hindge end.</t>
  </si>
  <si>
    <t>LGTL|LGTLPIC1</t>
  </si>
  <si>
    <t>F94di9hKuas|NONE</t>
  </si>
  <si>
    <t>STP - Non-Dampened Stop: The non-dampened stop has a pneumatically actuated blade to stop pallets at process or queue stations|Standard non-dampened stops are single acting, meaning they retract downwards when air is applied, and return up when air is vented|The non-dampened stop is often equipped with our stop mounted sensor bracket (SSB)|Pallet bumper features allows for easy pallet singulation when using Glide-Line pallet stops</t>
  </si>
  <si>
    <t>STPUP|STPDOWN|STPSSB|STPPLT</t>
  </si>
  <si>
    <t>Hq0TiPurjKc|NONE|NONE|NONE</t>
  </si>
  <si>
    <t>DSTP - Dampened Stop: Glide-Line offers Dampened stops for applications that have fragile or heavy loads.  Dampened force is adjustable on the top of the stop body. Options are available for sensor-detectable lift  piston and double-acting cylinder. | Click the "Play Video" button to watch a video about DSTP</t>
  </si>
  <si>
    <t>DSTPPIC1|DSTP</t>
  </si>
  <si>
    <t>NONE|Hq0TiPurjKc</t>
  </si>
  <si>
    <t>P-00693</t>
  </si>
  <si>
    <t>JIG REST BUTTON M8</t>
  </si>
  <si>
    <t>P-00704</t>
  </si>
  <si>
    <t>60kg DOUBLE ACTING DAMPING STOP WITH MAGNET</t>
  </si>
  <si>
    <t>P-00705R</t>
  </si>
  <si>
    <t>TVDS CAM PLATE RIGHT</t>
  </si>
  <si>
    <t>P-00705L</t>
  </si>
  <si>
    <t>TVDS CAM PLATE LEFT</t>
  </si>
  <si>
    <t>P-00706</t>
  </si>
  <si>
    <t>TVDS DAMPER CARRIAGE</t>
  </si>
  <si>
    <t>P-00707</t>
  </si>
  <si>
    <t>TVDS PIN RETAINER</t>
  </si>
  <si>
    <t>P-00708</t>
  </si>
  <si>
    <t>TVDS SPACER</t>
  </si>
  <si>
    <t>P-00709</t>
  </si>
  <si>
    <t>DOWEL PIN</t>
  </si>
  <si>
    <t>P-00710</t>
  </si>
  <si>
    <t>FLANGED BUSHING</t>
  </si>
  <si>
    <t>P-00712</t>
  </si>
  <si>
    <t>STOPPER BOLT</t>
  </si>
  <si>
    <t>P-00720</t>
  </si>
  <si>
    <t>TVDS MOUNTING PLATE</t>
  </si>
  <si>
    <t>P-00721</t>
  </si>
  <si>
    <t>TVDS RETURN BRACKET</t>
  </si>
  <si>
    <t>P-00722</t>
  </si>
  <si>
    <t>NYLON WASHER</t>
  </si>
  <si>
    <t>P-00760</t>
  </si>
  <si>
    <t>P-00781</t>
  </si>
  <si>
    <t>AIR CYLINDER</t>
  </si>
  <si>
    <t>P-00794</t>
  </si>
  <si>
    <t>CYLINDER ROD LOCATOR</t>
  </si>
  <si>
    <t>P-00797:16</t>
  </si>
  <si>
    <t>DYADIC RSA16 NEMA 23 MOTOR</t>
  </si>
  <si>
    <t>P-00799:030</t>
  </si>
  <si>
    <t>DYADIC POWER AND IO CABLE 3m</t>
  </si>
  <si>
    <t>P-00801</t>
  </si>
  <si>
    <t>RC DRIVE CLUTCH PINION</t>
  </si>
  <si>
    <t>P-00802</t>
  </si>
  <si>
    <t>RC DRIVE TAKEUP RACK</t>
  </si>
  <si>
    <t>P-00803</t>
  </si>
  <si>
    <t xml:space="preserve">RC DRIVE SIDE PLATE  </t>
  </si>
  <si>
    <t>P-00804</t>
  </si>
  <si>
    <t>RC RETURN SHOE</t>
  </si>
  <si>
    <t>P-00805</t>
  </si>
  <si>
    <t>RC SNUB SHOE</t>
  </si>
  <si>
    <t>P-00806</t>
  </si>
  <si>
    <t xml:space="preserve">RC DRIVE MOUNT BLOCK  </t>
  </si>
  <si>
    <t>P-00807</t>
  </si>
  <si>
    <t>RC DRIVE PLATE SPACER</t>
  </si>
  <si>
    <t>P-00808</t>
  </si>
  <si>
    <t>GLIDELINE RC EXTRUSION</t>
  </si>
  <si>
    <t>P-00809</t>
  </si>
  <si>
    <t>RETAINER BED</t>
  </si>
  <si>
    <t>P-00810</t>
  </si>
  <si>
    <t>RETAINER BED WITHOUT PALLET GUIDE</t>
  </si>
  <si>
    <t>P-00812</t>
  </si>
  <si>
    <t>RC DRIVE TAKEUP PINION</t>
  </si>
  <si>
    <t>P-00814</t>
  </si>
  <si>
    <t>18mm KEYED SHAFT</t>
  </si>
  <si>
    <t>P-00815</t>
  </si>
  <si>
    <t>18mm SHAFT COLLAR</t>
  </si>
  <si>
    <t>P-00817</t>
  </si>
  <si>
    <t>6mm KEY</t>
  </si>
  <si>
    <t>P-00818</t>
  </si>
  <si>
    <t>RC SPROCKET</t>
  </si>
  <si>
    <t>P-00819</t>
  </si>
  <si>
    <t>RC SPROCKET HUB</t>
  </si>
  <si>
    <t>P-00820</t>
  </si>
  <si>
    <t>RC TAKEUP WASHER</t>
  </si>
  <si>
    <t>P-00821</t>
  </si>
  <si>
    <t>RC TAKEUP SLEEVE</t>
  </si>
  <si>
    <t>P-00822</t>
  </si>
  <si>
    <t>RC DRIVE BEARING RETAINER</t>
  </si>
  <si>
    <t>P-00823</t>
  </si>
  <si>
    <t>RC GEARBOX MOUNT POST</t>
  </si>
  <si>
    <t>P-00824</t>
  </si>
  <si>
    <t>RC GEARBOX MOUNT PLATE</t>
  </si>
  <si>
    <t>P-00825</t>
  </si>
  <si>
    <t>RC GEARBOX MOUNT GROMMET</t>
  </si>
  <si>
    <t>P-00826</t>
  </si>
  <si>
    <t>RC DRIVE BEARING</t>
  </si>
  <si>
    <t>P-00827</t>
  </si>
  <si>
    <t>RC TAKEUP SPRING</t>
  </si>
  <si>
    <t>P-00828</t>
  </si>
  <si>
    <t>RC TAKEUP SPRING HOOK</t>
  </si>
  <si>
    <t>P-00829</t>
  </si>
  <si>
    <t>P-00830</t>
  </si>
  <si>
    <t>P-00831</t>
  </si>
  <si>
    <t>P-00832</t>
  </si>
  <si>
    <t>P-00833</t>
  </si>
  <si>
    <t>P-00834</t>
  </si>
  <si>
    <t>RC SCRAPER</t>
  </si>
  <si>
    <t>P-00835</t>
  </si>
  <si>
    <t>RC SCRAPER PIN</t>
  </si>
  <si>
    <t>P-00836</t>
  </si>
  <si>
    <t>RC SCRAPER SPRING</t>
  </si>
  <si>
    <t>P-00837</t>
  </si>
  <si>
    <t>RC FILLER BLOCK</t>
  </si>
  <si>
    <t>P-00838</t>
  </si>
  <si>
    <t>RC DRIVE END COVER</t>
  </si>
  <si>
    <t>P-00839</t>
  </si>
  <si>
    <t>RC DRIVE LOWER COVER</t>
  </si>
  <si>
    <t>P-00840</t>
  </si>
  <si>
    <t>RC DRIVE SIDE COVER</t>
  </si>
  <si>
    <t>P-00841</t>
  </si>
  <si>
    <t>RC DRIVE SHAFT COVER</t>
  </si>
  <si>
    <t>P-00842</t>
  </si>
  <si>
    <t>RC GEARBOX MOUNT EXTENSION</t>
  </si>
  <si>
    <t>P-00843</t>
  </si>
  <si>
    <t>LINEAR RAIL</t>
  </si>
  <si>
    <t>P-00844</t>
  </si>
  <si>
    <t>RC TAKEUP LATCH STRIKE PLATE</t>
  </si>
  <si>
    <t>P-00846</t>
  </si>
  <si>
    <t>G2 CROSS RAIL SUPPORT</t>
  </si>
  <si>
    <t>P-00848</t>
  </si>
  <si>
    <t>G2 SLLU TOOL PLATE</t>
  </si>
  <si>
    <t>P-00853</t>
  </si>
  <si>
    <t>STANDARD ROLLER CHAIN</t>
  </si>
  <si>
    <t>P-00854</t>
  </si>
  <si>
    <t>RC CHAIN MASTER LINK</t>
  </si>
  <si>
    <t>P-00855</t>
  </si>
  <si>
    <t>RC ROLLER CLUTCH</t>
  </si>
  <si>
    <t>P-00856</t>
  </si>
  <si>
    <t>PROTECTED ROLLER CHAIN</t>
  </si>
  <si>
    <t>P-00889</t>
  </si>
  <si>
    <t>90 DEGREE FITTING G1/8 X 6mm</t>
  </si>
  <si>
    <t>P-00890</t>
  </si>
  <si>
    <t>LOWER TIE PLATE</t>
  </si>
  <si>
    <t>P-00891</t>
  </si>
  <si>
    <t>ROTARY STUB SHAFT</t>
  </si>
  <si>
    <t>P-00892</t>
  </si>
  <si>
    <t>6mm PNEMATIC TUBING</t>
  </si>
  <si>
    <t>P-00893</t>
  </si>
  <si>
    <t>P-00894</t>
  </si>
  <si>
    <t>P-00895</t>
  </si>
  <si>
    <t>TEST PART</t>
  </si>
  <si>
    <t>Ron Schwar</t>
  </si>
  <si>
    <t>2.0.0071</t>
  </si>
  <si>
    <t>S</t>
  </si>
  <si>
    <t xml:space="preserve">   PLR - Pneumatic Lift Rotate</t>
  </si>
  <si>
    <t>PLR</t>
  </si>
  <si>
    <t>P-00665</t>
  </si>
  <si>
    <t>LRU TOOL PLATE</t>
  </si>
  <si>
    <t>P-00666</t>
  </si>
  <si>
    <t>LRU LIFT BLOCK</t>
  </si>
  <si>
    <t>P-00685</t>
  </si>
  <si>
    <t>MID POSITION COLLAR</t>
  </si>
  <si>
    <t>P-00787</t>
  </si>
  <si>
    <t>18mm Pulley Hub Key</t>
  </si>
  <si>
    <t>P-00789</t>
  </si>
  <si>
    <t>18mm Pulley Hub</t>
  </si>
  <si>
    <t>P-00790</t>
  </si>
  <si>
    <t>18mm Pulley Hub Outer Key</t>
  </si>
  <si>
    <t>P-00797:12</t>
  </si>
  <si>
    <t>DYADIC RSA12 NEMA 23 MOTOR</t>
  </si>
  <si>
    <t>RC DRIVE BEARING SPACER</t>
  </si>
  <si>
    <t>RC SNUB SHOE LOCK SLEEVE</t>
  </si>
  <si>
    <t>RC SNUB CARRIER</t>
  </si>
  <si>
    <t>RC SLED PLATE</t>
  </si>
  <si>
    <t>RC END CAP PLATE</t>
  </si>
  <si>
    <t>RC INNER END CAP PLATE</t>
  </si>
  <si>
    <t>P-00849:225</t>
  </si>
  <si>
    <t>20MM LINEAR SHAFT X 220mm LONG</t>
  </si>
  <si>
    <t>P-00849:250</t>
  </si>
  <si>
    <t>20MM LINEAR SHAFT X 250mm LONG</t>
  </si>
  <si>
    <t>P-00849:275</t>
  </si>
  <si>
    <t>20MM LINEAR SHAFT X 275mm LONG</t>
  </si>
  <si>
    <t>P-00849:300</t>
  </si>
  <si>
    <t>20MM LINEAR SHAFT X 300mm LONG</t>
  </si>
  <si>
    <t>P-00849:350</t>
  </si>
  <si>
    <t>20MM LINEAR SHAFT X 350mm LONG</t>
  </si>
  <si>
    <t>P-00849:400</t>
  </si>
  <si>
    <t>20MM LINEAR SHAFT X 400mm LONG</t>
  </si>
  <si>
    <t>P-00849:480</t>
  </si>
  <si>
    <t>20MM LINEAR SHAFT X 480mm LONG</t>
  </si>
  <si>
    <t>P-00849:500</t>
  </si>
  <si>
    <t>20MM LINEAR SHAFT X 500mm LONG</t>
  </si>
  <si>
    <t>P-00849:600</t>
  </si>
  <si>
    <t>20MM LINEAR SHAFT X 600mm LONG</t>
  </si>
  <si>
    <t>P-00849:700</t>
  </si>
  <si>
    <t>20MM LINEAR SHAFT X 700mm LONG</t>
  </si>
  <si>
    <t>P-00864:175</t>
  </si>
  <si>
    <t>BALL SCREW 12 x 175 WITH 10mm LEAD</t>
  </si>
  <si>
    <t>P-00864:200</t>
  </si>
  <si>
    <t>BALL SCREW 12 x 200 WITH 10mm LEAD</t>
  </si>
  <si>
    <t>P-00864:225</t>
  </si>
  <si>
    <t>BALL SCREW 12 x 225 WITH 10mm LEAD</t>
  </si>
  <si>
    <t>P-00864:250</t>
  </si>
  <si>
    <t>BALL SCREW 12 x 250 WITH 10mm LEAD</t>
  </si>
  <si>
    <t>P-00864:300</t>
  </si>
  <si>
    <t>BALL SCREW 12 x 300 WITH 10mm LEAD</t>
  </si>
  <si>
    <t>P-00864:350</t>
  </si>
  <si>
    <t>BALL SCREW 12 x 350 WITH 10mm LEAD</t>
  </si>
  <si>
    <t>P-00864:450</t>
  </si>
  <si>
    <t>BALL SCREW 12 x 450 WITH 10mm LEAD</t>
  </si>
  <si>
    <t>P-00864:550</t>
  </si>
  <si>
    <t>BALL SCREW 12 x 550 WITH 10mm LEAD</t>
  </si>
  <si>
    <t>P-00864:650</t>
  </si>
  <si>
    <t>BALL SCREW 12 x 650 WITH 10mm LEAD</t>
  </si>
  <si>
    <t>P-00864:800</t>
  </si>
  <si>
    <t>BALL SCREW 12 x 800 WITH 10mm LEAD</t>
  </si>
  <si>
    <t>P-00865</t>
  </si>
  <si>
    <t>BALL SCREW LRU GUIDE BASE PLATE</t>
  </si>
  <si>
    <t>P-00866</t>
  </si>
  <si>
    <t>BALL SCREW LLU GUIDE BASE PLATE</t>
  </si>
  <si>
    <t>P-00867</t>
  </si>
  <si>
    <t>BALL SCREW MOUNT</t>
  </si>
  <si>
    <t>P-00868</t>
  </si>
  <si>
    <t>BALL SCREW COLUMN</t>
  </si>
  <si>
    <t>P-00869</t>
  </si>
  <si>
    <t>BALL SCREW CAP</t>
  </si>
  <si>
    <t>P-00870</t>
  </si>
  <si>
    <t>BALL SCREW BALL BEARING</t>
  </si>
  <si>
    <t>P-00871</t>
  </si>
  <si>
    <t>BALL SCREW BEARING NUT</t>
  </si>
  <si>
    <t>P-00873</t>
  </si>
  <si>
    <t>BALL SCREW COUPLING 8mm</t>
  </si>
  <si>
    <t>P-00876</t>
  </si>
  <si>
    <t>BALL SCREW OIL SEAL</t>
  </si>
  <si>
    <t>P-00877</t>
  </si>
  <si>
    <t>P-00879</t>
  </si>
  <si>
    <t>ELL NOTCHED SIDE GUARD PANEL</t>
  </si>
  <si>
    <t>P-00880</t>
  </si>
  <si>
    <t>ELL END GUARD PANEL</t>
  </si>
  <si>
    <t>P-00881</t>
  </si>
  <si>
    <t>ELL BOTTOM GUARD PANEL</t>
  </si>
  <si>
    <t>P-00882</t>
  </si>
  <si>
    <t>BALL SCREW ELL CABLE GUIDE</t>
  </si>
  <si>
    <t>P-00899</t>
  </si>
  <si>
    <t>M8 X 8 HELICOIL THREAD INSERT</t>
  </si>
  <si>
    <t>P-00900</t>
  </si>
  <si>
    <t>ELL FULL SIDE GUARD PANEL</t>
  </si>
  <si>
    <t>P-00901</t>
  </si>
  <si>
    <t>ELR NOTCHED SIDE GUARD PANEL</t>
  </si>
  <si>
    <t>P-00902</t>
  </si>
  <si>
    <t>ELR FULL SIDE GUARD PANEL</t>
  </si>
  <si>
    <t>P-00903</t>
  </si>
  <si>
    <t>ELR END GUARD PANEL</t>
  </si>
  <si>
    <t>P-00904</t>
  </si>
  <si>
    <t>ELR BOTTOM GUARD PANEL</t>
  </si>
  <si>
    <t>P-00907</t>
  </si>
  <si>
    <t>RC DRIVE SIDE GUARD WRAP</t>
  </si>
  <si>
    <t>P-00908</t>
  </si>
  <si>
    <t>RC DRIVE SIDE GUARD PLATE</t>
  </si>
  <si>
    <t>P-00909</t>
  </si>
  <si>
    <t>RC NECK SPACER</t>
  </si>
  <si>
    <t>P-00982</t>
  </si>
  <si>
    <t>M6 X 30 LOW SQUARE NECK CARRIAGE BOLT</t>
  </si>
  <si>
    <t>P-00983</t>
  </si>
  <si>
    <t>RC SNUB SHOE PIN</t>
  </si>
  <si>
    <t>P-00984</t>
  </si>
  <si>
    <t>RC DRIVE END PLATE</t>
  </si>
  <si>
    <t>P-00985</t>
  </si>
  <si>
    <t>RC DRIVE BOTTOM PLATE</t>
  </si>
  <si>
    <t>P-00986</t>
  </si>
  <si>
    <t>RC TAKEUP SPRING HUB</t>
  </si>
  <si>
    <t>P-00798:PC</t>
  </si>
  <si>
    <t>DYADIC USB PROGRAMMING CABLE</t>
  </si>
  <si>
    <t>P-00896</t>
  </si>
  <si>
    <t>40 SHAFT AND COLLAR COVER</t>
  </si>
  <si>
    <t>P-00987</t>
  </si>
  <si>
    <t>RC M6 LOCKNUT</t>
  </si>
  <si>
    <t>P-00988</t>
  </si>
  <si>
    <t>RC M8 LOCKNUT</t>
  </si>
  <si>
    <t>P-00989</t>
  </si>
  <si>
    <t>RC M8 X 100 HHCS</t>
  </si>
  <si>
    <t>PLT - Pallet: Standard pallets do not include anodizing or custom machining. Additionally, pallets can be configured as assembled or unassembled. If you plan on further machining pallets to your specifications, you will want to configure the pallets as “Unassembled” due to pallet bushings interfering with your machine fixturing. |Configure a pallet with side rails when using with CRV or TCRV, or when bridging a large gap|Pallets can be configured unassembled - we will ship you the tool plate and bumper kits separate. Pallet bushings will need to be pressed into the pallets during assembly.|Click "Play Video" to see a demo on how to configure a pallet in IMPACT</t>
  </si>
  <si>
    <t>https://remote.nccas.com/GlideInternal/Glide-Line</t>
  </si>
  <si>
    <t xml:space="preserve">   RCT - Roller Chain Conveyor</t>
  </si>
  <si>
    <t>RCT</t>
  </si>
  <si>
    <t>PLR - Lift Rotate Unit: Used to raise pallet off the belt and rotate either direction. Click "Play Video" to see examples of Glide-Line's rotating equipment solutions|Standard offering includes pneumatically driven lift and servo drive rotate - complete electro-mechanical option is available upon request|Configure an LRU with or without the guarding package</t>
  </si>
  <si>
    <t>PLRGRD|PLR|GRD</t>
  </si>
  <si>
    <t>P-1</t>
  </si>
  <si>
    <t>RC PROFILE WITH DRIVE AND LEFT RETURN</t>
  </si>
  <si>
    <t>P-2</t>
  </si>
  <si>
    <t>RC PROFILE WITH DRIVE AND RIGHT RETURN</t>
  </si>
  <si>
    <t>P-3</t>
  </si>
  <si>
    <t>RC PROFILE WITH DRIVE AND BOTH RETURNS</t>
  </si>
  <si>
    <t>P-4</t>
  </si>
  <si>
    <t>RC PROFILE WITH DRIVE AND NO RETURNS</t>
  </si>
  <si>
    <t>P-5</t>
  </si>
  <si>
    <t>RC PROFILE WITH NO DRIVE AND ONE RETURN</t>
  </si>
  <si>
    <t>PW</t>
  </si>
  <si>
    <t>W2</t>
  </si>
  <si>
    <t>GLIDE-LINE PALLET</t>
  </si>
  <si>
    <t>lbs</t>
  </si>
  <si>
    <t>GLT2-PW240-L2000-D500-S-M3063-1-W2-40-270-C100;1000;100</t>
  </si>
  <si>
    <t>2 STRAND CONVEYOR</t>
  </si>
  <si>
    <t>M3063</t>
  </si>
  <si>
    <t>100;1000;100</t>
  </si>
  <si>
    <t>;;;;</t>
  </si>
  <si>
    <t>2;4190;413;1413;0;0;0;0;0;0;0</t>
  </si>
  <si>
    <t>2.0.0023</t>
  </si>
  <si>
    <t>C:\Users\emill\Documents\GitHub\thruster-line\thruster-line.xlsm</t>
  </si>
  <si>
    <t>thruster-line.xlsm</t>
  </si>
  <si>
    <t>GLT_0002</t>
  </si>
  <si>
    <t>TEST-1</t>
  </si>
  <si>
    <t xml:space="preserve">DRIVE SIDE PLATE  </t>
  </si>
  <si>
    <t xml:space="preserve">DRIVE FIXING BLOCK  </t>
  </si>
  <si>
    <t>DRIVE PULLEY HALF</t>
  </si>
  <si>
    <t xml:space="preserve">DRIVE PULLEY MOUNT  </t>
  </si>
  <si>
    <t>UPPER DRIVE COVER</t>
  </si>
  <si>
    <t>LOWER DRIVE COVER</t>
  </si>
  <si>
    <t xml:space="preserve">FLANGED ROLLER  </t>
  </si>
  <si>
    <t>IDLER PIN</t>
  </si>
  <si>
    <t>RIGHT HAND TORSION SPRING</t>
  </si>
  <si>
    <t>DOMED GLIDE-LINE LOGO</t>
  </si>
  <si>
    <t>GEARBOX HANGAR SPACER</t>
  </si>
  <si>
    <t>SIZE 28 AND 30 GEARBOX HANGAR</t>
  </si>
  <si>
    <t>SIZE 28 AND 30 GEARBOX FLANGE</t>
  </si>
  <si>
    <t>SLIDER BED 1942mm LONG +0mm/-1mm</t>
  </si>
  <si>
    <t>P-00026-1942</t>
  </si>
  <si>
    <t>GLIDELINE EXTRUSION  413mm LONG</t>
  </si>
  <si>
    <t>P-00025-413</t>
  </si>
  <si>
    <t>GLIDELINE EXTRUSION  1413mm LONG</t>
  </si>
  <si>
    <t>P-00025-1413</t>
  </si>
  <si>
    <t>FULLY KEYED STAINLESS SHAFT - 346mm LONG +/- .5mm</t>
  </si>
  <si>
    <t>P-00077-346</t>
  </si>
  <si>
    <t>GL SHAFT GUARD PROFILE - 164mm LONG +/- .5mm</t>
  </si>
  <si>
    <t>P-00759-164</t>
  </si>
  <si>
    <t>5X5 METRIC 316SS KEYSTOCK - 147mm LONG +1mm/-0mm</t>
  </si>
  <si>
    <t>P-00097-147</t>
  </si>
  <si>
    <t>5X5 METRIC 316SS KEYSTOCK - 50mm LONG +1mm/-0mm</t>
  </si>
  <si>
    <t>P-00097-50</t>
  </si>
  <si>
    <t>45 X 45 BEAM X 166mm LONG +1mm/-0mm</t>
  </si>
  <si>
    <t>P-00076-166</t>
  </si>
  <si>
    <t>GREEN NYLON FACED T5 BELT</t>
  </si>
  <si>
    <t>P-00030-4190</t>
  </si>
  <si>
    <t>PUR</t>
  </si>
  <si>
    <t>DEEP GROOVE BALL BEARING  IDLER ROLLER</t>
  </si>
  <si>
    <t>DEEP GROOVE BALL BEARING  DRIVE PULLEY</t>
  </si>
  <si>
    <t>40:1 SIZE 30 GEARBOX WITH IEC-63 B14 MOTOR FLANGE</t>
  </si>
  <si>
    <t>KEY GUARD TUBE - 33mm LONG +0mm/-1mm</t>
  </si>
  <si>
    <t>P-00088-33</t>
  </si>
  <si>
    <t>SOCKET HEAD CAP SCREW</t>
  </si>
  <si>
    <t>M3 X 30 SHCS SS</t>
  </si>
  <si>
    <t>BUTTON HEAD CAP SCREW</t>
  </si>
  <si>
    <t>M5 X 8 BHCS SS</t>
  </si>
  <si>
    <t>LOW HEAD SHCS FOR AC FLANGE</t>
  </si>
  <si>
    <t>CUP POINT SET SCREW FOR KEY COLLAR</t>
  </si>
  <si>
    <t>M5 X 5 CPSS SS</t>
  </si>
  <si>
    <t>SOCKET HEAD CAP SCREW FOR GBOX MOUNTING 28/30/40</t>
  </si>
  <si>
    <t>M6 X 20 SHCS SS</t>
  </si>
  <si>
    <t>NMOT_0003</t>
  </si>
  <si>
    <t>MOTOR-1</t>
  </si>
  <si>
    <t>NMOT-N23</t>
  </si>
  <si>
    <t>N23</t>
  </si>
  <si>
    <t>GLT_0004</t>
  </si>
  <si>
    <t>TEST-2</t>
  </si>
  <si>
    <t>ADD</t>
  </si>
  <si>
    <t>PLT_0005</t>
  </si>
  <si>
    <t>PALLET-1</t>
  </si>
  <si>
    <t>PLT-240-240-6.4-TJ-NR-A</t>
  </si>
  <si>
    <t>ALUMINUM PALLET</t>
  </si>
  <si>
    <t>6.4-TJ</t>
  </si>
  <si>
    <t>NR</t>
  </si>
  <si>
    <t>P-00634-240-240</t>
  </si>
  <si>
    <t>FULL PALLET BUMPER</t>
  </si>
  <si>
    <t>UNIVERSAL PALLET BUSHING</t>
  </si>
  <si>
    <t>P-00116</t>
  </si>
  <si>
    <t>FAB LABOR ESTIMATE</t>
  </si>
  <si>
    <t>FLE</t>
  </si>
  <si>
    <t>WATERJET LABOR ESTIMATE</t>
  </si>
  <si>
    <t>WJE</t>
  </si>
  <si>
    <t>CNC LABOR ESTIMATE</t>
  </si>
  <si>
    <t>CNE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</si>
</sst>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quot;$&quot;#,##0.00_);[Red]\(&quot;$&quot;#,##0.00\)"/>
    <numFmt numFmtId="165" formatCode="&quot;$&quot;#,##0.00_);\(&quot;$&quot;#,##0.00\)"/>
    <numFmt numFmtId="166" formatCode="_(&quot;$&quot;* #,##0.00_);_(&quot;$&quot;* \(#,##0.00\);_(&quot;$&quot;* &quot;-&quot;??_);_(@_)"/>
    <numFmt numFmtId="167" formatCode="_(* #,##0.00_);_(* \(#,##0.00\);_(* &quot;-&quot;??_);_(@_)"/>
    <numFmt numFmtId="168" formatCode="&quot;$&quot;#,##0.00"/>
    <numFmt numFmtId="169" formatCode=";;;"/>
    <numFmt numFmtId="170" formatCode="_([$$-409]* #,##0.00_);_([$$-409]* \(#,##0.00\);_([$$-409]* &quot;-&quot;??_);_(@_)"/>
    <numFmt numFmtId="171" formatCode="0000"/>
    <numFmt numFmtId="172" formatCode="m/d/yyyy\ h:mm:ss\ AM/PM"/>
    <numFmt numFmtId="173" formatCode="&quot;$&quot;#,##0.00000000"/>
    <numFmt numFmtId="174" formatCode="#0000"/>
    <numFmt numFmtId="175" formatCode="_(* #,##0.000000_);_(* \(#,##0.000000\);_(* &quot;-&quot;??????_);_(@_)"/>
  </numFmts>
  <fonts count="45">
    <font>
      <sz val="11"/>
      <color theme="1"/>
      <name val="Calibri"/>
      <family val="2"/>
      <scheme val="minor"/>
    </font>
    <font>
      <sz val="10"/>
      <name val="Arial"/>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u/>
      <sz val="11"/>
      <color theme="10"/>
      <name val="Calibri"/>
      <family val="2"/>
    </font>
    <font>
      <u/>
      <sz val="7.7"/>
      <color theme="10"/>
      <name val="Calibri"/>
      <family val="2"/>
    </font>
    <font>
      <sz val="11"/>
      <color theme="1"/>
      <name val="Stylus BT"/>
      <family val="2"/>
    </font>
    <font>
      <b/>
      <sz val="11"/>
      <color theme="1"/>
      <name val="Calibri"/>
      <family val="2"/>
      <scheme val="minor"/>
    </font>
    <font>
      <sz val="20"/>
      <color theme="4" tint="-0.499984740745262"/>
      <name val="Calibri"/>
      <family val="2"/>
      <scheme val="minor"/>
    </font>
    <font>
      <b/>
      <sz val="11"/>
      <color rgb="FFFF0000"/>
      <name val="Calibri"/>
      <family val="2"/>
      <scheme val="minor"/>
    </font>
    <font>
      <sz val="9"/>
      <color indexed="81"/>
      <name val="Tahoma"/>
      <family val="2"/>
    </font>
    <font>
      <b/>
      <sz val="9"/>
      <color indexed="81"/>
      <name val="Tahoma"/>
      <family val="2"/>
    </font>
    <font>
      <b/>
      <sz val="20"/>
      <color theme="1"/>
      <name val="Calibri"/>
      <family val="2"/>
      <scheme val="minor"/>
    </font>
    <font>
      <b/>
      <sz val="12"/>
      <color theme="1"/>
      <name val="Calibri"/>
      <family val="2"/>
      <scheme val="minor"/>
    </font>
    <font>
      <b/>
      <u/>
      <sz val="11"/>
      <color theme="10"/>
      <name val="Calibri"/>
      <family val="2"/>
      <scheme val="minor"/>
    </font>
    <font>
      <b/>
      <sz val="20"/>
      <name val="Calibri"/>
      <family val="2"/>
      <scheme val="minor"/>
    </font>
    <font>
      <b/>
      <sz val="14"/>
      <name val="Calibri"/>
      <family val="2"/>
      <scheme val="minor"/>
    </font>
    <font>
      <b/>
      <sz val="16"/>
      <color theme="1"/>
      <name val="Calibri"/>
      <family val="2"/>
      <scheme val="minor"/>
    </font>
    <font>
      <b/>
      <sz val="28"/>
      <color theme="4" tint="-0.499984740745262"/>
      <name val="Calibri"/>
      <family val="2"/>
      <scheme val="minor"/>
    </font>
    <font>
      <b/>
      <sz val="11"/>
      <color theme="0"/>
      <name val="Calibri"/>
      <family val="2"/>
      <scheme val="minor"/>
    </font>
    <font>
      <b/>
      <sz val="11"/>
      <name val="Calibri"/>
      <family val="2"/>
      <scheme val="minor"/>
    </font>
    <font>
      <b/>
      <vertAlign val="superscript"/>
      <sz val="12"/>
      <name val="Calibri"/>
      <family val="2"/>
      <scheme val="minor"/>
    </font>
    <font>
      <b/>
      <i/>
      <sz val="14"/>
      <color theme="1"/>
      <name val="Calibri"/>
      <family val="2"/>
      <scheme val="minor"/>
    </font>
    <font>
      <b/>
      <i/>
      <sz val="11"/>
      <color theme="1"/>
      <name val="Calibri"/>
      <family val="2"/>
      <scheme val="minor"/>
    </font>
    <font>
      <b/>
      <sz val="14"/>
      <color rgb="FFFF0000"/>
      <name val="Calibri"/>
      <family val="2"/>
      <scheme val="minor"/>
    </font>
    <font>
      <sz val="12"/>
      <color theme="1"/>
      <name val="Calibri"/>
      <family val="2"/>
      <scheme val="minor"/>
    </font>
    <font>
      <b/>
      <sz val="12"/>
      <color rgb="FFFF0000"/>
      <name val="Calibri"/>
      <family val="2"/>
      <scheme val="minor"/>
    </font>
    <font>
      <b/>
      <sz val="22"/>
      <color rgb="FFFF0000"/>
      <name val="Calibri"/>
      <family val="2"/>
      <scheme val="minor"/>
    </font>
    <font>
      <b/>
      <sz val="18"/>
      <color theme="1"/>
      <name val="Calibri"/>
      <family val="2"/>
      <scheme val="minor"/>
    </font>
    <font>
      <b/>
      <sz val="16"/>
      <color rgb="FFFF0000"/>
      <name val="Calibri"/>
      <family val="2"/>
      <scheme val="minor"/>
    </font>
    <font>
      <b/>
      <sz val="9"/>
      <color theme="0"/>
      <name val="Calibri"/>
      <family val="2"/>
      <scheme val="minor"/>
    </font>
    <font>
      <b/>
      <sz val="10"/>
      <color rgb="FFFF0000"/>
      <name val="Arial Unicode MS"/>
      <family val="2"/>
    </font>
    <font>
      <sz val="12"/>
      <color rgb="FFFF0000"/>
      <name val="Calibri"/>
      <family val="2"/>
      <scheme val="minor"/>
    </font>
    <font>
      <sz val="20"/>
      <color theme="1"/>
      <name val="Calibri"/>
      <family val="2"/>
      <scheme val="minor"/>
    </font>
    <font>
      <b/>
      <sz val="14"/>
      <color theme="1"/>
      <name val="Calibri"/>
      <family val="2"/>
      <scheme val="minor"/>
    </font>
    <font>
      <sz val="11"/>
      <name val="Calibri"/>
      <family val="2"/>
      <scheme val="minor"/>
    </font>
    <font>
      <b/>
      <sz val="9"/>
      <color rgb="FFFF0000"/>
      <name val="Calibri"/>
      <family val="2"/>
      <scheme val="minor"/>
    </font>
    <font>
      <sz val="10"/>
      <color theme="1"/>
      <name val="Arial Rounded MT Bold"/>
      <family val="2"/>
    </font>
    <font>
      <b/>
      <sz val="10"/>
      <color rgb="FFFF0000"/>
      <name val="Arial Rounded MT Bold"/>
      <family val="2"/>
    </font>
    <font>
      <b/>
      <sz val="12"/>
      <color theme="4" tint="-0.499984740745262"/>
      <name val="Calibri"/>
      <family val="2"/>
      <scheme val="minor"/>
    </font>
    <font>
      <b/>
      <sz val="10"/>
      <color theme="1"/>
      <name val="Calibri"/>
      <family val="2"/>
      <scheme val="minor"/>
    </font>
    <font>
      <b/>
      <sz val="11"/>
      <color theme="1" tint="4.9989318521683403E-2"/>
      <name val="Calibri"/>
      <family val="2"/>
      <scheme val="minor"/>
    </font>
    <font>
      <sz val="11"/>
      <color theme="1"/>
      <name val="Calibri"/>
      <family val="2"/>
      <scheme val="minor"/>
    </font>
  </fonts>
  <fills count="31">
    <fill>
      <patternFill patternType="none"/>
    </fill>
    <fill>
      <patternFill patternType="gray125"/>
    </fill>
    <fill>
      <patternFill patternType="solid">
        <fgColor theme="5" tint="0.39997558519241921"/>
        <bgColor indexed="65"/>
      </patternFill>
    </fill>
    <fill>
      <patternFill patternType="solid">
        <fgColor theme="9"/>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rgb="FF00B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theme="4"/>
      </patternFill>
    </fill>
    <fill>
      <patternFill patternType="solid">
        <fgColor rgb="FF7030A0"/>
        <bgColor indexed="64"/>
      </patternFill>
    </fill>
    <fill>
      <patternFill patternType="solid">
        <fgColor theme="3" tint="0.39997558519241921"/>
        <bgColor indexed="64"/>
      </patternFill>
    </fill>
    <fill>
      <patternFill patternType="solid">
        <fgColor theme="7" tint="0.59999389629810485"/>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4" tint="0.39997558519241921"/>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theme="1"/>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style="thin">
        <color theme="1"/>
      </right>
      <top/>
      <bottom style="medium">
        <color theme="1"/>
      </bottom>
      <diagonal/>
    </border>
    <border>
      <left style="thin">
        <color theme="0"/>
      </left>
      <right style="thin">
        <color theme="0"/>
      </right>
      <top/>
      <bottom/>
      <diagonal/>
    </border>
    <border>
      <left style="thin">
        <color theme="0"/>
      </left>
      <right style="thin">
        <color theme="0"/>
      </right>
      <top style="thin">
        <color theme="0"/>
      </top>
      <bottom/>
      <diagonal/>
    </border>
    <border>
      <left/>
      <right/>
      <top style="thin">
        <color indexed="64"/>
      </top>
      <bottom/>
      <diagonal/>
    </border>
    <border>
      <left/>
      <right/>
      <top/>
      <bottom style="thin">
        <color indexed="64"/>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4" tint="0.39997558519241921"/>
      </top>
      <bottom/>
      <diagonal/>
    </border>
  </borders>
  <cellStyleXfs count="38">
    <xf numFmtId="0" fontId="0" fillId="0" borderId="0"/>
    <xf numFmtId="0" fontId="3" fillId="2" borderId="0" applyNumberFormat="0" applyBorder="0" applyAlignment="0" applyProtection="0"/>
    <xf numFmtId="0" fontId="3" fillId="3" borderId="0" applyNumberFormat="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5" fillId="0" borderId="0" applyNumberFormat="0" applyFill="0" applyBorder="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1" fillId="0" borderId="0"/>
    <xf numFmtId="0" fontId="1" fillId="0" borderId="0"/>
    <xf numFmtId="0" fontId="8"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cellStyleXfs>
  <cellXfs count="245">
    <xf numFmtId="0" fontId="0" fillId="0" borderId="0" xfId="0"/>
    <xf numFmtId="0" fontId="0" fillId="0" borderId="0" xfId="0" applyAlignment="1" applyProtection="1">
      <alignment horizontal="center" vertical="center"/>
      <protection hidden="1"/>
    </xf>
    <xf numFmtId="0" fontId="0" fillId="0" borderId="0" xfId="0" applyAlignment="1" applyProtection="1">
      <alignment vertical="center"/>
      <protection hidden="1"/>
    </xf>
    <xf numFmtId="168" fontId="0" fillId="0" borderId="0" xfId="0" applyNumberFormat="1" applyAlignment="1" applyProtection="1">
      <alignment vertical="center"/>
      <protection hidden="1"/>
    </xf>
    <xf numFmtId="168" fontId="0" fillId="0" borderId="0" xfId="0" applyNumberFormat="1" applyAlignment="1" applyProtection="1">
      <alignment horizontal="right" vertical="center"/>
      <protection hidden="1"/>
    </xf>
    <xf numFmtId="0" fontId="0" fillId="0" borderId="0" xfId="0" applyAlignment="1">
      <alignment horizontal="center" vertical="center"/>
    </xf>
    <xf numFmtId="0" fontId="0" fillId="0" borderId="0" xfId="0" applyAlignment="1">
      <alignment vertical="center"/>
    </xf>
    <xf numFmtId="169" fontId="0" fillId="0" borderId="0" xfId="0" applyNumberFormat="1" applyAlignment="1" applyProtection="1">
      <alignment horizontal="right" vertical="center"/>
      <protection hidden="1"/>
    </xf>
    <xf numFmtId="0" fontId="0" fillId="0" borderId="1" xfId="0" applyBorder="1"/>
    <xf numFmtId="0" fontId="0" fillId="0" borderId="1" xfId="0" applyBorder="1" applyAlignment="1">
      <alignment wrapText="1"/>
    </xf>
    <xf numFmtId="0" fontId="0" fillId="8" borderId="4" xfId="0" applyFill="1" applyBorder="1"/>
    <xf numFmtId="0" fontId="0" fillId="8" borderId="5" xfId="0" applyFill="1" applyBorder="1" applyAlignment="1">
      <alignment vertical="center"/>
    </xf>
    <xf numFmtId="0" fontId="0" fillId="8" borderId="6" xfId="0" applyFill="1" applyBorder="1" applyAlignment="1">
      <alignment horizontal="center" vertical="center"/>
    </xf>
    <xf numFmtId="49" fontId="4" fillId="5" borderId="2" xfId="0" applyNumberFormat="1" applyFont="1" applyFill="1" applyBorder="1" applyAlignment="1">
      <alignment horizontal="center" vertical="center" wrapText="1"/>
    </xf>
    <xf numFmtId="0" fontId="4" fillId="13" borderId="3" xfId="0" applyFont="1" applyFill="1" applyBorder="1" applyAlignment="1">
      <alignment horizontal="center"/>
    </xf>
    <xf numFmtId="0" fontId="14" fillId="14" borderId="1" xfId="20" applyFont="1" applyFill="1" applyBorder="1" applyAlignment="1">
      <alignment horizontal="center" vertical="top" wrapText="1"/>
    </xf>
    <xf numFmtId="169" fontId="9" fillId="0" borderId="0" xfId="0" applyNumberFormat="1" applyFont="1" applyAlignment="1" applyProtection="1">
      <alignment horizontal="right" vertical="center"/>
      <protection hidden="1"/>
    </xf>
    <xf numFmtId="0" fontId="4" fillId="13" borderId="5" xfId="0" applyFont="1" applyFill="1" applyBorder="1" applyAlignment="1">
      <alignment horizontal="center"/>
    </xf>
    <xf numFmtId="0" fontId="0" fillId="15" borderId="1" xfId="0" applyFill="1" applyBorder="1"/>
    <xf numFmtId="0" fontId="0" fillId="4" borderId="1" xfId="0" applyFill="1" applyBorder="1"/>
    <xf numFmtId="49" fontId="4"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wrapText="1"/>
    </xf>
    <xf numFmtId="0" fontId="0" fillId="0" borderId="0" xfId="0" applyProtection="1">
      <protection hidden="1"/>
    </xf>
    <xf numFmtId="49" fontId="0" fillId="0" borderId="0" xfId="0" applyNumberFormat="1" applyAlignment="1" applyProtection="1">
      <alignment horizontal="left" vertical="center" wrapText="1"/>
      <protection hidden="1"/>
    </xf>
    <xf numFmtId="49" fontId="0" fillId="0" borderId="0" xfId="0" applyNumberFormat="1" applyAlignment="1" applyProtection="1">
      <alignment horizontal="left" vertical="center"/>
      <protection hidden="1"/>
    </xf>
    <xf numFmtId="168" fontId="0" fillId="0" borderId="0" xfId="0" applyNumberFormat="1"/>
    <xf numFmtId="0" fontId="9" fillId="15" borderId="1" xfId="0" applyFont="1" applyFill="1" applyBorder="1"/>
    <xf numFmtId="0" fontId="11" fillId="4" borderId="1" xfId="0" applyFont="1" applyFill="1" applyBorder="1" applyAlignment="1">
      <alignment horizontal="left"/>
    </xf>
    <xf numFmtId="0" fontId="9" fillId="13" borderId="1" xfId="0" applyFont="1" applyFill="1" applyBorder="1" applyAlignment="1">
      <alignment horizontal="center"/>
    </xf>
    <xf numFmtId="0" fontId="9" fillId="17" borderId="1" xfId="0" applyFont="1" applyFill="1" applyBorder="1"/>
    <xf numFmtId="0" fontId="0" fillId="12" borderId="1" xfId="0" applyFill="1" applyBorder="1" applyAlignment="1">
      <alignment horizontal="left" vertical="center"/>
    </xf>
    <xf numFmtId="0" fontId="0" fillId="0" borderId="0" xfId="0" applyAlignment="1">
      <alignment horizontal="right"/>
    </xf>
    <xf numFmtId="168" fontId="0" fillId="0" borderId="0" xfId="0" applyNumberFormat="1" applyAlignment="1">
      <alignment vertical="center"/>
    </xf>
    <xf numFmtId="0" fontId="0" fillId="7" borderId="1" xfId="0" applyFill="1" applyBorder="1" applyAlignment="1">
      <alignment horizontal="left" vertical="top"/>
    </xf>
    <xf numFmtId="168" fontId="0" fillId="0" borderId="0" xfId="0" applyNumberFormat="1" applyAlignment="1">
      <alignment wrapText="1"/>
    </xf>
    <xf numFmtId="0" fontId="0" fillId="7" borderId="1" xfId="0" applyFill="1" applyBorder="1" applyAlignment="1">
      <alignment horizontal="left"/>
    </xf>
    <xf numFmtId="0" fontId="11" fillId="4" borderId="1" xfId="0" applyFont="1" applyFill="1" applyBorder="1" applyAlignment="1">
      <alignment wrapText="1"/>
    </xf>
    <xf numFmtId="0" fontId="0" fillId="7" borderId="1" xfId="0" applyFill="1" applyBorder="1"/>
    <xf numFmtId="0" fontId="0" fillId="7" borderId="1" xfId="0" quotePrefix="1" applyFill="1" applyBorder="1" applyAlignment="1">
      <alignment vertical="top"/>
    </xf>
    <xf numFmtId="49" fontId="0" fillId="0" borderId="0" xfId="0" applyNumberFormat="1" applyAlignment="1" applyProtection="1">
      <alignment horizontal="center" vertical="center" wrapText="1"/>
      <protection hidden="1"/>
    </xf>
    <xf numFmtId="0" fontId="0" fillId="0" borderId="0" xfId="0" applyAlignment="1" applyProtection="1">
      <alignment horizontal="left" vertical="center"/>
      <protection hidden="1"/>
    </xf>
    <xf numFmtId="1" fontId="0" fillId="0" borderId="0" xfId="0" applyNumberFormat="1" applyAlignment="1" applyProtection="1">
      <alignment horizontal="center" vertical="center"/>
      <protection hidden="1"/>
    </xf>
    <xf numFmtId="170" fontId="2" fillId="0" borderId="0" xfId="36" applyNumberFormat="1" applyFont="1" applyBorder="1" applyAlignment="1" applyProtection="1">
      <alignment horizontal="right" vertical="center"/>
      <protection hidden="1"/>
    </xf>
    <xf numFmtId="0" fontId="0" fillId="6" borderId="0" xfId="0" applyFill="1" applyAlignment="1">
      <alignment horizontal="center"/>
    </xf>
    <xf numFmtId="169" fontId="0" fillId="0" borderId="0" xfId="0" applyNumberForma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49" fontId="0" fillId="0" borderId="0" xfId="0" applyNumberFormat="1" applyAlignment="1" applyProtection="1">
      <alignment vertical="center"/>
      <protection hidden="1"/>
    </xf>
    <xf numFmtId="49" fontId="0" fillId="19" borderId="0" xfId="0" applyNumberFormat="1" applyFill="1" applyAlignment="1" applyProtection="1">
      <alignment horizontal="center" vertical="center" wrapText="1"/>
      <protection hidden="1"/>
    </xf>
    <xf numFmtId="49" fontId="11" fillId="4" borderId="0" xfId="0" applyNumberFormat="1" applyFont="1" applyFill="1" applyAlignment="1" applyProtection="1">
      <alignment horizontal="center" vertical="center" wrapText="1"/>
      <protection hidden="1"/>
    </xf>
    <xf numFmtId="49" fontId="9" fillId="9" borderId="0" xfId="0" applyNumberFormat="1" applyFont="1" applyFill="1" applyAlignment="1" applyProtection="1">
      <alignment horizontal="center" vertical="center" wrapText="1"/>
      <protection hidden="1"/>
    </xf>
    <xf numFmtId="49" fontId="16" fillId="0" borderId="0" xfId="11" applyNumberFormat="1" applyFont="1" applyBorder="1" applyAlignment="1" applyProtection="1">
      <alignment horizontal="left" vertical="center"/>
      <protection hidden="1"/>
    </xf>
    <xf numFmtId="49" fontId="5" fillId="0" borderId="0" xfId="11" applyNumberFormat="1" applyBorder="1" applyAlignment="1" applyProtection="1">
      <alignment horizontal="left" vertical="center" wrapText="1"/>
      <protection hidden="1"/>
    </xf>
    <xf numFmtId="49" fontId="21" fillId="5" borderId="2"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left"/>
    </xf>
    <xf numFmtId="10" fontId="0" fillId="0" borderId="0" xfId="0" applyNumberFormat="1" applyAlignment="1">
      <alignment horizontal="center"/>
    </xf>
    <xf numFmtId="0" fontId="0" fillId="20" borderId="1" xfId="0" applyFill="1" applyBorder="1" applyAlignment="1">
      <alignment horizontal="center"/>
    </xf>
    <xf numFmtId="0" fontId="0" fillId="20" borderId="1" xfId="0" applyFill="1" applyBorder="1"/>
    <xf numFmtId="0" fontId="0" fillId="20" borderId="1" xfId="0" applyFill="1" applyBorder="1" applyAlignment="1">
      <alignment horizontal="left"/>
    </xf>
    <xf numFmtId="49" fontId="22" fillId="5" borderId="1" xfId="0" applyNumberFormat="1" applyFont="1" applyFill="1" applyBorder="1" applyAlignment="1">
      <alignment horizontal="center" vertical="center" wrapText="1"/>
    </xf>
    <xf numFmtId="0" fontId="24" fillId="0" borderId="0" xfId="0" applyFont="1"/>
    <xf numFmtId="0" fontId="25" fillId="0" borderId="0" xfId="0" applyFont="1"/>
    <xf numFmtId="1" fontId="0" fillId="0" borderId="1" xfId="0" applyNumberFormat="1" applyBorder="1" applyAlignment="1">
      <alignment horizontal="right"/>
    </xf>
    <xf numFmtId="168" fontId="0" fillId="0" borderId="1" xfId="0" applyNumberFormat="1" applyBorder="1"/>
    <xf numFmtId="0" fontId="0" fillId="0" borderId="1" xfId="0" applyBorder="1" applyAlignment="1">
      <alignment horizontal="left"/>
    </xf>
    <xf numFmtId="168" fontId="22" fillId="15" borderId="8" xfId="0" applyNumberFormat="1" applyFont="1" applyFill="1" applyBorder="1" applyAlignment="1">
      <alignment horizontal="center"/>
    </xf>
    <xf numFmtId="168" fontId="22" fillId="15" borderId="1" xfId="0" applyNumberFormat="1" applyFont="1" applyFill="1" applyBorder="1" applyAlignment="1">
      <alignment horizontal="center"/>
    </xf>
    <xf numFmtId="0" fontId="26" fillId="4" borderId="8" xfId="0" applyFont="1" applyFill="1" applyBorder="1" applyAlignment="1">
      <alignment horizontal="left"/>
    </xf>
    <xf numFmtId="0" fontId="26" fillId="4" borderId="9" xfId="0" applyFont="1" applyFill="1" applyBorder="1" applyAlignment="1">
      <alignment horizontal="left"/>
    </xf>
    <xf numFmtId="0" fontId="27" fillId="0" borderId="1" xfId="0" applyFont="1" applyBorder="1" applyAlignment="1">
      <alignment horizontal="left" wrapText="1"/>
    </xf>
    <xf numFmtId="166" fontId="27" fillId="21" borderId="1" xfId="36" applyFont="1" applyFill="1" applyBorder="1" applyAlignment="1">
      <alignment horizontal="left" wrapText="1"/>
    </xf>
    <xf numFmtId="0" fontId="9" fillId="22" borderId="1" xfId="0" applyFont="1" applyFill="1" applyBorder="1"/>
    <xf numFmtId="168" fontId="0" fillId="23" borderId="1" xfId="0" applyNumberFormat="1" applyFill="1" applyBorder="1"/>
    <xf numFmtId="168" fontId="27" fillId="0" borderId="1" xfId="0" applyNumberFormat="1" applyFont="1" applyBorder="1" applyAlignment="1">
      <alignment horizontal="left" wrapText="1"/>
    </xf>
    <xf numFmtId="0" fontId="9" fillId="24" borderId="2" xfId="0" applyFont="1" applyFill="1" applyBorder="1" applyAlignment="1">
      <alignment horizontal="center" wrapText="1"/>
    </xf>
    <xf numFmtId="0" fontId="9" fillId="13" borderId="2" xfId="0" applyFont="1" applyFill="1" applyBorder="1" applyAlignment="1">
      <alignment horizontal="center" wrapText="1"/>
    </xf>
    <xf numFmtId="0" fontId="9" fillId="25" borderId="1" xfId="0" applyFont="1" applyFill="1" applyBorder="1" applyAlignment="1">
      <alignment horizontal="center" wrapText="1"/>
    </xf>
    <xf numFmtId="0" fontId="9" fillId="24" borderId="1" xfId="0" applyFont="1" applyFill="1" applyBorder="1" applyAlignment="1">
      <alignment horizontal="center"/>
    </xf>
    <xf numFmtId="0" fontId="0" fillId="0" borderId="1" xfId="0" applyBorder="1" applyAlignment="1">
      <alignment horizontal="center"/>
    </xf>
    <xf numFmtId="170" fontId="0" fillId="10" borderId="1" xfId="36" applyNumberFormat="1" applyFont="1" applyFill="1" applyBorder="1"/>
    <xf numFmtId="12" fontId="9" fillId="25" borderId="1" xfId="0" applyNumberFormat="1" applyFont="1" applyFill="1" applyBorder="1"/>
    <xf numFmtId="0" fontId="28" fillId="4" borderId="1" xfId="0" applyFont="1" applyFill="1" applyBorder="1" applyAlignment="1">
      <alignment horizontal="center"/>
    </xf>
    <xf numFmtId="170" fontId="0" fillId="21" borderId="1" xfId="36" applyNumberFormat="1" applyFont="1" applyFill="1" applyBorder="1"/>
    <xf numFmtId="10" fontId="0" fillId="26" borderId="1" xfId="37" applyNumberFormat="1" applyFont="1" applyFill="1" applyBorder="1"/>
    <xf numFmtId="170" fontId="0" fillId="26" borderId="1" xfId="36" applyNumberFormat="1" applyFont="1" applyFill="1" applyBorder="1"/>
    <xf numFmtId="0" fontId="15" fillId="15" borderId="2" xfId="0" applyFont="1" applyFill="1" applyBorder="1" applyAlignment="1">
      <alignment horizontal="center" wrapText="1"/>
    </xf>
    <xf numFmtId="0" fontId="9" fillId="0" borderId="0" xfId="0" applyFont="1" applyAlignment="1">
      <alignment horizontal="left"/>
    </xf>
    <xf numFmtId="0" fontId="28" fillId="4" borderId="1" xfId="0" quotePrefix="1" applyFont="1" applyFill="1" applyBorder="1" applyAlignment="1">
      <alignment horizontal="center" vertical="center"/>
    </xf>
    <xf numFmtId="0" fontId="27" fillId="0" borderId="0" xfId="0" applyFont="1" applyAlignment="1">
      <alignment horizontal="center"/>
    </xf>
    <xf numFmtId="0" fontId="9" fillId="22" borderId="1" xfId="0" applyFont="1" applyFill="1" applyBorder="1" applyAlignment="1">
      <alignment horizontal="left"/>
    </xf>
    <xf numFmtId="168" fontId="9" fillId="0" borderId="0" xfId="0" applyNumberFormat="1" applyFont="1"/>
    <xf numFmtId="0" fontId="9" fillId="22" borderId="1" xfId="0" applyFont="1" applyFill="1" applyBorder="1" applyAlignment="1">
      <alignment horizontal="left" wrapText="1"/>
    </xf>
    <xf numFmtId="4" fontId="0" fillId="13" borderId="1" xfId="35" quotePrefix="1" applyNumberFormat="1" applyFont="1" applyFill="1" applyBorder="1"/>
    <xf numFmtId="49" fontId="32" fillId="5" borderId="14" xfId="0" applyNumberFormat="1" applyFont="1" applyFill="1" applyBorder="1" applyAlignment="1">
      <alignment horizontal="center" vertical="center" wrapText="1"/>
    </xf>
    <xf numFmtId="49" fontId="32" fillId="5" borderId="14" xfId="0" applyNumberFormat="1" applyFont="1" applyFill="1" applyBorder="1" applyAlignment="1">
      <alignment horizontal="center" vertical="center"/>
    </xf>
    <xf numFmtId="168" fontId="0" fillId="4" borderId="15" xfId="0" applyNumberFormat="1" applyFill="1" applyBorder="1"/>
    <xf numFmtId="168" fontId="0" fillId="4" borderId="16" xfId="0" applyNumberFormat="1" applyFill="1" applyBorder="1"/>
    <xf numFmtId="0" fontId="30" fillId="4" borderId="17" xfId="0" applyFont="1" applyFill="1" applyBorder="1"/>
    <xf numFmtId="0" fontId="9" fillId="0" borderId="1" xfId="0" applyFont="1" applyBorder="1" applyAlignment="1">
      <alignment horizontal="center"/>
    </xf>
    <xf numFmtId="0" fontId="33" fillId="4" borderId="1" xfId="0" quotePrefix="1" applyFont="1" applyFill="1" applyBorder="1" applyAlignment="1">
      <alignment horizontal="center" vertical="center"/>
    </xf>
    <xf numFmtId="0" fontId="34" fillId="4" borderId="10" xfId="0" applyFont="1" applyFill="1" applyBorder="1" applyAlignment="1">
      <alignment horizontal="center"/>
    </xf>
    <xf numFmtId="0" fontId="34" fillId="4" borderId="11" xfId="0" applyFont="1" applyFill="1" applyBorder="1"/>
    <xf numFmtId="0" fontId="34" fillId="4" borderId="11" xfId="0" applyFont="1" applyFill="1" applyBorder="1" applyAlignment="1">
      <alignment horizontal="left"/>
    </xf>
    <xf numFmtId="10" fontId="34" fillId="4" borderId="11" xfId="0" applyNumberFormat="1" applyFont="1" applyFill="1" applyBorder="1" applyAlignment="1">
      <alignment horizontal="center"/>
    </xf>
    <xf numFmtId="168" fontId="34" fillId="4" borderId="11" xfId="0" applyNumberFormat="1" applyFont="1" applyFill="1" applyBorder="1"/>
    <xf numFmtId="0" fontId="28" fillId="4" borderId="12" xfId="0" applyFont="1" applyFill="1" applyBorder="1"/>
    <xf numFmtId="0" fontId="9" fillId="23" borderId="18" xfId="0" applyFont="1" applyFill="1" applyBorder="1"/>
    <xf numFmtId="0" fontId="35" fillId="23" borderId="10" xfId="0" applyFont="1" applyFill="1" applyBorder="1" applyAlignment="1">
      <alignment horizontal="left"/>
    </xf>
    <xf numFmtId="0" fontId="35" fillId="23" borderId="11" xfId="0" applyFont="1" applyFill="1" applyBorder="1" applyAlignment="1">
      <alignment horizontal="left"/>
    </xf>
    <xf numFmtId="10" fontId="35" fillId="23" borderId="11" xfId="0" applyNumberFormat="1" applyFont="1" applyFill="1" applyBorder="1" applyAlignment="1">
      <alignment horizontal="center"/>
    </xf>
    <xf numFmtId="168" fontId="35" fillId="23" borderId="11" xfId="0" applyNumberFormat="1" applyFont="1" applyFill="1" applyBorder="1"/>
    <xf numFmtId="0" fontId="14" fillId="23" borderId="12" xfId="0" applyFont="1" applyFill="1" applyBorder="1"/>
    <xf numFmtId="0" fontId="0" fillId="24" borderId="1" xfId="35" quotePrefix="1" applyNumberFormat="1" applyFont="1" applyFill="1" applyBorder="1"/>
    <xf numFmtId="39" fontId="0" fillId="14" borderId="1" xfId="35" applyNumberFormat="1" applyFont="1" applyFill="1" applyBorder="1"/>
    <xf numFmtId="166" fontId="27" fillId="4" borderId="1" xfId="36" applyFont="1" applyFill="1" applyBorder="1" applyAlignment="1">
      <alignment horizontal="left" wrapText="1"/>
    </xf>
    <xf numFmtId="168" fontId="11" fillId="4" borderId="1" xfId="0" applyNumberFormat="1" applyFont="1" applyFill="1" applyBorder="1"/>
    <xf numFmtId="0" fontId="32" fillId="21" borderId="23" xfId="0" applyFont="1" applyFill="1" applyBorder="1" applyAlignment="1">
      <alignment horizontal="center" vertical="center" wrapText="1"/>
    </xf>
    <xf numFmtId="49" fontId="32" fillId="27" borderId="2" xfId="0" applyNumberFormat="1" applyFont="1" applyFill="1" applyBorder="1" applyAlignment="1">
      <alignment horizontal="center" vertical="center" wrapText="1"/>
    </xf>
    <xf numFmtId="49" fontId="32" fillId="27" borderId="2" xfId="0" applyNumberFormat="1" applyFont="1" applyFill="1" applyBorder="1" applyAlignment="1">
      <alignment horizontal="center" vertical="center"/>
    </xf>
    <xf numFmtId="0" fontId="9" fillId="4" borderId="1" xfId="0" applyFont="1" applyFill="1" applyBorder="1"/>
    <xf numFmtId="168" fontId="15" fillId="4" borderId="1" xfId="0" quotePrefix="1" applyNumberFormat="1" applyFont="1" applyFill="1" applyBorder="1" applyAlignment="1">
      <alignment horizontal="left" wrapText="1"/>
    </xf>
    <xf numFmtId="168" fontId="9" fillId="0" borderId="1" xfId="0" applyNumberFormat="1" applyFont="1" applyBorder="1"/>
    <xf numFmtId="168" fontId="15" fillId="0" borderId="1" xfId="0" applyNumberFormat="1" applyFont="1" applyBorder="1" applyAlignment="1">
      <alignment horizontal="left" wrapText="1"/>
    </xf>
    <xf numFmtId="10" fontId="3" fillId="28" borderId="24" xfId="0" applyNumberFormat="1" applyFont="1" applyFill="1" applyBorder="1" applyAlignment="1" applyProtection="1">
      <alignment vertical="center"/>
      <protection locked="0" hidden="1"/>
    </xf>
    <xf numFmtId="0" fontId="22" fillId="21" borderId="25" xfId="0" applyFont="1" applyFill="1" applyBorder="1" applyAlignment="1" applyProtection="1">
      <alignment horizontal="right"/>
      <protection hidden="1"/>
    </xf>
    <xf numFmtId="168" fontId="22" fillId="21" borderId="25" xfId="0" quotePrefix="1" applyNumberFormat="1" applyFont="1" applyFill="1" applyBorder="1" applyAlignment="1" applyProtection="1">
      <alignment vertical="center"/>
      <protection hidden="1"/>
    </xf>
    <xf numFmtId="0" fontId="4" fillId="28" borderId="24" xfId="0" applyFont="1" applyFill="1" applyBorder="1" applyAlignment="1" applyProtection="1">
      <alignment horizontal="right"/>
      <protection hidden="1"/>
    </xf>
    <xf numFmtId="0" fontId="0" fillId="0" borderId="22" xfId="0" applyBorder="1" applyAlignment="1">
      <alignment horizontal="center"/>
    </xf>
    <xf numFmtId="0" fontId="0" fillId="0" borderId="2" xfId="0" applyBorder="1" applyAlignment="1">
      <alignment horizontal="center"/>
    </xf>
    <xf numFmtId="0" fontId="0" fillId="0" borderId="21" xfId="0" applyBorder="1" applyAlignment="1">
      <alignment horizontal="center"/>
    </xf>
    <xf numFmtId="0" fontId="9" fillId="0" borderId="0" xfId="0" applyFont="1"/>
    <xf numFmtId="0" fontId="0" fillId="0" borderId="21" xfId="0" applyBorder="1"/>
    <xf numFmtId="0" fontId="0" fillId="0" borderId="22" xfId="0" applyBorder="1"/>
    <xf numFmtId="0" fontId="0" fillId="0" borderId="2" xfId="0" applyBorder="1"/>
    <xf numFmtId="168" fontId="37" fillId="14" borderId="13" xfId="0" applyNumberFormat="1" applyFont="1" applyFill="1" applyBorder="1"/>
    <xf numFmtId="0" fontId="37" fillId="14" borderId="0" xfId="0" applyFont="1" applyFill="1"/>
    <xf numFmtId="0" fontId="37" fillId="14" borderId="28" xfId="0" applyFont="1" applyFill="1" applyBorder="1"/>
    <xf numFmtId="168" fontId="37" fillId="14" borderId="13" xfId="0" applyNumberFormat="1" applyFont="1" applyFill="1" applyBorder="1" applyAlignment="1">
      <alignment horizontal="right"/>
    </xf>
    <xf numFmtId="168" fontId="37" fillId="14" borderId="13" xfId="0" applyNumberFormat="1" applyFont="1" applyFill="1" applyBorder="1" applyAlignment="1">
      <alignment vertical="center"/>
    </xf>
    <xf numFmtId="168" fontId="37" fillId="14" borderId="17" xfId="0" applyNumberFormat="1" applyFont="1" applyFill="1" applyBorder="1"/>
    <xf numFmtId="0" fontId="37" fillId="14" borderId="16" xfId="0" applyFont="1" applyFill="1" applyBorder="1"/>
    <xf numFmtId="0" fontId="37" fillId="14" borderId="15" xfId="0" applyFont="1" applyFill="1" applyBorder="1"/>
    <xf numFmtId="0" fontId="0" fillId="0" borderId="0" xfId="0" applyAlignment="1" applyProtection="1">
      <alignment horizontal="right" vertical="center"/>
      <protection hidden="1"/>
    </xf>
    <xf numFmtId="168" fontId="0" fillId="0" borderId="0" xfId="0" applyNumberFormat="1" applyAlignment="1">
      <alignment horizontal="right"/>
    </xf>
    <xf numFmtId="10" fontId="0" fillId="0" borderId="0" xfId="0" applyNumberFormat="1" applyAlignment="1">
      <alignment horizontal="right"/>
    </xf>
    <xf numFmtId="0" fontId="9" fillId="0" borderId="1" xfId="0" applyFont="1" applyBorder="1" applyAlignment="1">
      <alignment horizontal="center" wrapText="1"/>
    </xf>
    <xf numFmtId="0" fontId="9" fillId="0" borderId="1" xfId="0" applyFont="1" applyBorder="1" applyAlignment="1">
      <alignment horizontal="left"/>
    </xf>
    <xf numFmtId="165" fontId="0" fillId="0" borderId="1" xfId="0" applyNumberFormat="1" applyBorder="1"/>
    <xf numFmtId="168" fontId="2" fillId="0" borderId="0" xfId="36" applyNumberFormat="1" applyFont="1" applyBorder="1" applyAlignment="1" applyProtection="1">
      <alignment horizontal="right" vertical="center"/>
      <protection hidden="1"/>
    </xf>
    <xf numFmtId="168" fontId="0" fillId="6" borderId="0" xfId="0" applyNumberFormat="1" applyFill="1" applyAlignment="1">
      <alignment horizontal="center"/>
    </xf>
    <xf numFmtId="164" fontId="0" fillId="0" borderId="1" xfId="0" applyNumberFormat="1" applyBorder="1"/>
    <xf numFmtId="0" fontId="9" fillId="0" borderId="29" xfId="0" applyFont="1" applyBorder="1" applyAlignment="1">
      <alignment horizontal="center"/>
    </xf>
    <xf numFmtId="0" fontId="9" fillId="0" borderId="30" xfId="0" applyFont="1" applyBorder="1" applyAlignment="1">
      <alignment horizontal="center"/>
    </xf>
    <xf numFmtId="0" fontId="9" fillId="0" borderId="7" xfId="0" applyFont="1" applyBorder="1" applyAlignment="1">
      <alignment horizontal="center"/>
    </xf>
    <xf numFmtId="0" fontId="38" fillId="4" borderId="1" xfId="0" applyFont="1" applyFill="1" applyBorder="1"/>
    <xf numFmtId="14" fontId="0" fillId="0" borderId="0" xfId="0" applyNumberFormat="1"/>
    <xf numFmtId="0" fontId="9" fillId="16" borderId="1" xfId="0" applyFont="1" applyFill="1" applyBorder="1"/>
    <xf numFmtId="0" fontId="39" fillId="11" borderId="1" xfId="0" applyFont="1" applyFill="1" applyBorder="1"/>
    <xf numFmtId="171" fontId="39" fillId="11" borderId="1" xfId="0" quotePrefix="1" applyNumberFormat="1" applyFont="1" applyFill="1" applyBorder="1"/>
    <xf numFmtId="0" fontId="39" fillId="21" borderId="1" xfId="0" applyFont="1" applyFill="1" applyBorder="1" applyAlignment="1">
      <alignment horizontal="center" vertical="center"/>
    </xf>
    <xf numFmtId="172" fontId="39" fillId="15" borderId="1" xfId="0" applyNumberFormat="1" applyFont="1" applyFill="1" applyBorder="1"/>
    <xf numFmtId="0" fontId="40" fillId="4" borderId="1" xfId="0" applyFont="1" applyFill="1" applyBorder="1" applyAlignment="1">
      <alignment horizontal="center" vertical="center"/>
    </xf>
    <xf numFmtId="49" fontId="9" fillId="0" borderId="0" xfId="0" applyNumberFormat="1" applyFont="1" applyAlignment="1" applyProtection="1">
      <alignment horizontal="left" vertical="center" wrapText="1"/>
      <protection hidden="1"/>
    </xf>
    <xf numFmtId="0" fontId="9" fillId="26" borderId="1" xfId="0" applyFont="1" applyFill="1" applyBorder="1"/>
    <xf numFmtId="172" fontId="39" fillId="15" borderId="1" xfId="0" applyNumberFormat="1" applyFont="1" applyFill="1" applyBorder="1" applyAlignment="1">
      <alignment horizontal="left"/>
    </xf>
    <xf numFmtId="172" fontId="39" fillId="7" borderId="1" xfId="0" applyNumberFormat="1" applyFont="1" applyFill="1" applyBorder="1" applyAlignment="1">
      <alignment horizontal="left"/>
    </xf>
    <xf numFmtId="0" fontId="14" fillId="21" borderId="1" xfId="0" applyFont="1" applyFill="1" applyBorder="1" applyAlignment="1">
      <alignment horizontal="center"/>
    </xf>
    <xf numFmtId="14" fontId="0" fillId="0" borderId="31" xfId="0" applyNumberFormat="1" applyBorder="1"/>
    <xf numFmtId="0" fontId="0" fillId="0" borderId="31" xfId="0" applyBorder="1"/>
    <xf numFmtId="0" fontId="9" fillId="0" borderId="31" xfId="0" applyFont="1" applyBorder="1"/>
    <xf numFmtId="168" fontId="37" fillId="14" borderId="32" xfId="0" applyNumberFormat="1" applyFont="1" applyFill="1" applyBorder="1"/>
    <xf numFmtId="0" fontId="37" fillId="14" borderId="33" xfId="0" applyFont="1" applyFill="1" applyBorder="1"/>
    <xf numFmtId="0" fontId="37" fillId="14" borderId="34" xfId="0" applyFont="1" applyFill="1" applyBorder="1"/>
    <xf numFmtId="0" fontId="0" fillId="0" borderId="8" xfId="0" applyBorder="1"/>
    <xf numFmtId="1" fontId="9" fillId="18" borderId="1" xfId="0" applyNumberFormat="1" applyFont="1" applyFill="1" applyBorder="1" applyAlignment="1">
      <alignment horizontal="left" vertical="center"/>
    </xf>
    <xf numFmtId="0" fontId="0" fillId="0" borderId="31" xfId="0" applyBorder="1" applyAlignment="1">
      <alignment wrapText="1"/>
    </xf>
    <xf numFmtId="174" fontId="9" fillId="0" borderId="31" xfId="0" quotePrefix="1" applyNumberFormat="1" applyFont="1" applyBorder="1"/>
    <xf numFmtId="171" fontId="9" fillId="0" borderId="1" xfId="0" quotePrefix="1" applyNumberFormat="1" applyFont="1" applyBorder="1"/>
    <xf numFmtId="174" fontId="9" fillId="0" borderId="31" xfId="0" applyNumberFormat="1" applyFont="1" applyBorder="1"/>
    <xf numFmtId="14" fontId="0" fillId="0" borderId="20" xfId="0" applyNumberFormat="1" applyBorder="1"/>
    <xf numFmtId="174" fontId="9" fillId="0" borderId="1" xfId="0" applyNumberFormat="1" applyFont="1" applyBorder="1"/>
    <xf numFmtId="14" fontId="0" fillId="0" borderId="8" xfId="0" applyNumberFormat="1" applyBorder="1"/>
    <xf numFmtId="49" fontId="9" fillId="0" borderId="1" xfId="0" applyNumberFormat="1" applyFont="1" applyBorder="1" applyAlignment="1" applyProtection="1">
      <alignment horizontal="left" vertical="center" wrapText="1"/>
      <protection hidden="1"/>
    </xf>
    <xf numFmtId="49" fontId="0" fillId="0" borderId="8" xfId="0" applyNumberFormat="1" applyBorder="1" applyAlignment="1" applyProtection="1">
      <alignment horizontal="left" vertical="center" wrapText="1"/>
      <protection hidden="1"/>
    </xf>
    <xf numFmtId="49" fontId="42" fillId="0" borderId="9" xfId="0" applyNumberFormat="1" applyFont="1" applyBorder="1" applyAlignment="1" applyProtection="1">
      <alignment horizontal="left" vertical="center"/>
      <protection hidden="1"/>
    </xf>
    <xf numFmtId="0" fontId="9" fillId="17" borderId="1" xfId="0" applyFont="1" applyFill="1" applyBorder="1" applyAlignment="1">
      <alignment horizontal="left"/>
    </xf>
    <xf numFmtId="0" fontId="9" fillId="30" borderId="1" xfId="0" applyFont="1" applyFill="1" applyBorder="1" applyAlignment="1">
      <alignment horizontal="left"/>
    </xf>
    <xf numFmtId="165" fontId="9" fillId="0" borderId="1" xfId="36" applyNumberFormat="1" applyFont="1" applyFill="1" applyBorder="1" applyAlignment="1" applyProtection="1">
      <alignment horizontal="left"/>
    </xf>
    <xf numFmtId="9" fontId="9" fillId="10" borderId="1" xfId="37" applyFont="1" applyFill="1" applyBorder="1" applyAlignment="1" applyProtection="1">
      <alignment horizontal="left"/>
    </xf>
    <xf numFmtId="175" fontId="43" fillId="17" borderId="1" xfId="0" applyNumberFormat="1" applyFont="1" applyFill="1" applyBorder="1" applyAlignment="1">
      <alignment horizontal="left"/>
    </xf>
    <xf numFmtId="173" fontId="9" fillId="0" borderId="1" xfId="0" applyNumberFormat="1" applyFont="1" applyBorder="1" applyAlignment="1">
      <alignment horizontal="center"/>
    </xf>
    <xf numFmtId="0" fontId="0" fillId="17" borderId="1" xfId="0" applyFill="1" applyBorder="1" applyAlignment="1">
      <alignment horizontal="center"/>
    </xf>
    <xf numFmtId="168" fontId="9" fillId="17" borderId="9" xfId="0" applyNumberFormat="1" applyFont="1" applyFill="1" applyBorder="1" applyAlignment="1">
      <alignment horizontal="center"/>
    </xf>
    <xf numFmtId="0" fontId="0" fillId="4" borderId="1" xfId="0" applyFill="1" applyBorder="1" applyAlignment="1">
      <alignment horizontal="center"/>
    </xf>
    <xf numFmtId="0" fontId="0" fillId="9" borderId="8" xfId="0" applyFill="1" applyBorder="1" applyAlignment="1">
      <alignment horizontal="center"/>
    </xf>
    <xf numFmtId="10" fontId="0" fillId="0" borderId="1" xfId="0" applyNumberFormat="1" applyBorder="1" applyAlignment="1">
      <alignment horizontal="center"/>
    </xf>
    <xf numFmtId="0" fontId="0" fillId="0" borderId="8" xfId="0" applyBorder="1" applyAlignment="1">
      <alignment horizontal="center"/>
    </xf>
    <xf numFmtId="168" fontId="0" fillId="0" borderId="9" xfId="0" applyNumberFormat="1" applyBorder="1" applyAlignment="1">
      <alignment horizontal="center"/>
    </xf>
    <xf numFmtId="171" fontId="9" fillId="0" borderId="31" xfId="0" applyNumberFormat="1" applyFont="1" applyBorder="1"/>
    <xf numFmtId="0" fontId="5" fillId="4" borderId="2" xfId="11" applyFill="1" applyBorder="1" applyAlignment="1" applyProtection="1"/>
    <xf numFmtId="165" fontId="0" fillId="0" borderId="0" xfId="0" applyNumberFormat="1" applyAlignment="1">
      <alignment vertical="center"/>
    </xf>
    <xf numFmtId="0" fontId="44" fillId="8" borderId="5" xfId="0" applyFont="1" applyFill="1" applyBorder="1"/>
    <xf numFmtId="0" fontId="44" fillId="8" borderId="5" xfId="0" applyFont="1" applyFill="1" applyBorder="1" applyAlignment="1">
      <alignment vertical="center"/>
    </xf>
    <xf numFmtId="1" fontId="0" fillId="0" borderId="0" xfId="35" applyNumberFormat="1" applyFont="1" applyFill="1" applyAlignment="1" applyProtection="1">
      <alignment horizontal="center" vertical="center"/>
      <protection locked="0" hidden="1"/>
    </xf>
    <xf numFmtId="168" fontId="0" fillId="0" borderId="0" xfId="36" applyNumberFormat="1" applyFont="1" applyAlignment="1" applyProtection="1">
      <alignment horizontal="right" vertical="center"/>
      <protection hidden="1"/>
    </xf>
    <xf numFmtId="0" fontId="0" fillId="8" borderId="35" xfId="0" applyFill="1" applyBorder="1" applyAlignment="1">
      <alignment vertical="center"/>
    </xf>
    <xf numFmtId="1" fontId="0" fillId="0" borderId="0" xfId="0" applyNumberFormat="1" applyAlignment="1" applyProtection="1">
      <alignment horizontal="center" vertical="center"/>
      <protection locked="0" hidden="1"/>
    </xf>
    <xf numFmtId="0" fontId="20" fillId="0" borderId="0" xfId="0" applyFont="1" applyAlignment="1" applyProtection="1">
      <alignment horizontal="center" vertical="center"/>
      <protection hidden="1"/>
    </xf>
    <xf numFmtId="0" fontId="41" fillId="0" borderId="0" xfId="0" applyFont="1" applyAlignment="1" applyProtection="1">
      <alignment horizontal="left" vertical="center" wrapText="1"/>
      <protection hidden="1"/>
    </xf>
    <xf numFmtId="0" fontId="10" fillId="16" borderId="0" xfId="0" applyFont="1" applyFill="1" applyAlignment="1" applyProtection="1">
      <alignment horizontal="center" vertical="center"/>
      <protection hidden="1"/>
    </xf>
    <xf numFmtId="49" fontId="9" fillId="13" borderId="0" xfId="0" applyNumberFormat="1" applyFont="1" applyFill="1" applyAlignment="1" applyProtection="1">
      <alignment horizontal="center" vertical="center"/>
      <protection hidden="1"/>
    </xf>
    <xf numFmtId="0" fontId="0" fillId="0" borderId="0" xfId="0" applyAlignment="1" applyProtection="1">
      <alignment horizontal="left" wrapText="1"/>
      <protection hidden="1"/>
    </xf>
    <xf numFmtId="0" fontId="15" fillId="18" borderId="0" xfId="0" applyFont="1" applyFill="1" applyAlignment="1">
      <alignment horizontal="center"/>
    </xf>
    <xf numFmtId="0" fontId="17" fillId="14" borderId="7" xfId="0" applyFont="1" applyFill="1" applyBorder="1" applyAlignment="1">
      <alignment horizontal="center"/>
    </xf>
    <xf numFmtId="0" fontId="17" fillId="14" borderId="0" xfId="0" applyFont="1" applyFill="1" applyAlignment="1">
      <alignment horizontal="center"/>
    </xf>
    <xf numFmtId="0" fontId="18" fillId="15" borderId="7" xfId="0" applyFont="1" applyFill="1" applyBorder="1" applyAlignment="1">
      <alignment horizontal="center"/>
    </xf>
    <xf numFmtId="0" fontId="18" fillId="15" borderId="0" xfId="0" applyFont="1" applyFill="1" applyAlignment="1">
      <alignment horizontal="center"/>
    </xf>
    <xf numFmtId="0" fontId="29" fillId="4" borderId="12" xfId="0" applyFont="1" applyFill="1" applyBorder="1" applyAlignment="1">
      <alignment horizontal="center"/>
    </xf>
    <xf numFmtId="0" fontId="29" fillId="4" borderId="11" xfId="0" applyFont="1" applyFill="1" applyBorder="1" applyAlignment="1">
      <alignment horizontal="center"/>
    </xf>
    <xf numFmtId="0" fontId="29" fillId="4" borderId="10" xfId="0" applyFont="1" applyFill="1" applyBorder="1" applyAlignment="1">
      <alignment horizontal="center"/>
    </xf>
    <xf numFmtId="0" fontId="0" fillId="0" borderId="0" xfId="0" applyAlignment="1">
      <alignment horizontal="left" vertical="top" wrapText="1"/>
    </xf>
    <xf numFmtId="0" fontId="15" fillId="22" borderId="12" xfId="0" applyFont="1" applyFill="1" applyBorder="1" applyAlignment="1">
      <alignment horizontal="center"/>
    </xf>
    <xf numFmtId="0" fontId="15" fillId="22" borderId="11" xfId="0" applyFont="1" applyFill="1" applyBorder="1" applyAlignment="1">
      <alignment horizontal="center"/>
    </xf>
    <xf numFmtId="0" fontId="15" fillId="22" borderId="10" xfId="0" applyFont="1" applyFill="1" applyBorder="1" applyAlignment="1">
      <alignment horizontal="center"/>
    </xf>
    <xf numFmtId="0" fontId="30" fillId="4" borderId="13" xfId="0" applyFont="1" applyFill="1" applyBorder="1" applyAlignment="1">
      <alignment horizontal="center"/>
    </xf>
    <xf numFmtId="0" fontId="30" fillId="4" borderId="0" xfId="0" applyFont="1" applyFill="1" applyAlignment="1">
      <alignment horizontal="center"/>
    </xf>
    <xf numFmtId="0" fontId="30" fillId="21" borderId="21" xfId="0" applyFont="1" applyFill="1" applyBorder="1" applyAlignment="1">
      <alignment horizontal="center"/>
    </xf>
    <xf numFmtId="0" fontId="30" fillId="21" borderId="27" xfId="0" applyFont="1" applyFill="1" applyBorder="1" applyAlignment="1">
      <alignment horizontal="center"/>
    </xf>
    <xf numFmtId="0" fontId="30" fillId="21" borderId="7" xfId="0" applyFont="1" applyFill="1" applyBorder="1" applyAlignment="1">
      <alignment horizontal="center"/>
    </xf>
    <xf numFmtId="0" fontId="30" fillId="21" borderId="0" xfId="0" applyFont="1" applyFill="1" applyAlignment="1">
      <alignment horizontal="center"/>
    </xf>
    <xf numFmtId="0" fontId="30" fillId="21" borderId="9" xfId="0" applyFont="1" applyFill="1" applyBorder="1" applyAlignment="1">
      <alignment horizontal="center"/>
    </xf>
    <xf numFmtId="0" fontId="30" fillId="21" borderId="8" xfId="0" applyFont="1" applyFill="1" applyBorder="1" applyAlignment="1">
      <alignment horizontal="center"/>
    </xf>
    <xf numFmtId="0" fontId="30" fillId="21" borderId="19" xfId="0" applyFont="1" applyFill="1" applyBorder="1" applyAlignment="1">
      <alignment horizontal="center"/>
    </xf>
    <xf numFmtId="0" fontId="30" fillId="21" borderId="26" xfId="0" applyFont="1" applyFill="1" applyBorder="1" applyAlignment="1">
      <alignment horizontal="center"/>
    </xf>
    <xf numFmtId="0" fontId="30" fillId="21" borderId="20" xfId="0" applyFont="1" applyFill="1" applyBorder="1" applyAlignment="1">
      <alignment horizontal="center"/>
    </xf>
    <xf numFmtId="0" fontId="19" fillId="29" borderId="1" xfId="0" applyFont="1" applyFill="1" applyBorder="1" applyAlignment="1">
      <alignment horizontal="center"/>
    </xf>
    <xf numFmtId="0" fontId="36" fillId="4" borderId="1" xfId="0" applyFont="1" applyFill="1" applyBorder="1" applyAlignment="1">
      <alignment horizontal="center"/>
    </xf>
    <xf numFmtId="0" fontId="9" fillId="17" borderId="1" xfId="0" applyFont="1" applyFill="1" applyBorder="1" applyAlignment="1">
      <alignment horizontal="center"/>
    </xf>
    <xf numFmtId="0" fontId="0" fillId="8" borderId="5" xfId="0" applyFont="1" applyFill="1" applyBorder="1" applyAlignment="1">
      <alignment vertical="center"/>
    </xf>
    <xf numFmtId="0" fontId="0" fillId="0" borderId="0" xfId="0" applyBorder="1" applyAlignment="1">
      <alignment vertical="center"/>
    </xf>
    <xf numFmtId="0" fontId="0" fillId="8" borderId="35" xfId="0" applyFont="1" applyFill="1" applyBorder="1" applyAlignment="1">
      <alignment vertical="center"/>
    </xf>
    <xf numFmtId="0" fontId="0" fillId="0" borderId="0" xfId="0" applyBorder="1" applyAlignment="1">
      <alignment horizontal="center" vertical="center"/>
    </xf>
    <xf numFmtId="0" fontId="0" fillId="0" borderId="0" xfId="0" applyNumberFormat="1" applyFont="1" applyFill="1" applyAlignment="1" applyProtection="1">
      <alignment horizontal="left" vertical="center"/>
      <protection hidden="1"/>
    </xf>
    <xf numFmtId="0" fontId="0" fillId="0" borderId="0" xfId="0" applyNumberFormat="1" applyFont="1" applyFill="1" applyAlignment="1" applyProtection="1">
      <alignment horizontal="center" vertical="center"/>
      <protection hidden="1"/>
    </xf>
    <xf numFmtId="0" fontId="0" fillId="0" borderId="0" xfId="0" applyNumberFormat="1" applyFont="1" applyFill="1" applyAlignment="1" applyProtection="1">
      <alignment vertical="center"/>
      <protection hidden="1"/>
    </xf>
  </cellXfs>
  <cellStyles count="38">
    <cellStyle name="60% - Accent2 2" xfId="1" xr:uid="{00000000-0005-0000-0000-000000000000}"/>
    <cellStyle name="Accent6 2" xfId="2" xr:uid="{00000000-0005-0000-0000-000001000000}"/>
    <cellStyle name="Comma" xfId="35" builtinId="3"/>
    <cellStyle name="Currency" xfId="36" builtinId="4"/>
    <cellStyle name="Currency 2" xfId="3" xr:uid="{00000000-0005-0000-0000-000004000000}"/>
    <cellStyle name="Currency 2 2" xfId="4" xr:uid="{00000000-0005-0000-0000-000005000000}"/>
    <cellStyle name="Currency 3" xfId="5" xr:uid="{00000000-0005-0000-0000-000006000000}"/>
    <cellStyle name="Currency 3 2" xfId="6" xr:uid="{00000000-0005-0000-0000-000007000000}"/>
    <cellStyle name="Currency 4" xfId="7" xr:uid="{00000000-0005-0000-0000-000008000000}"/>
    <cellStyle name="Currency 4 2" xfId="8" xr:uid="{00000000-0005-0000-0000-000009000000}"/>
    <cellStyle name="Currency 5" xfId="9" xr:uid="{00000000-0005-0000-0000-00000A000000}"/>
    <cellStyle name="Currency 5 2" xfId="10" xr:uid="{00000000-0005-0000-0000-00000B000000}"/>
    <cellStyle name="Hyperlink" xfId="11" builtinId="8"/>
    <cellStyle name="Hyperlink 2" xfId="12" xr:uid="{00000000-0005-0000-0000-00000D000000}"/>
    <cellStyle name="Hyperlink 2 2" xfId="13" xr:uid="{00000000-0005-0000-0000-00000E000000}"/>
    <cellStyle name="Hyperlink 2 3" xfId="14" xr:uid="{00000000-0005-0000-0000-00000F000000}"/>
    <cellStyle name="Hyperlink 3" xfId="15" xr:uid="{00000000-0005-0000-0000-000010000000}"/>
    <cellStyle name="Normal" xfId="0" builtinId="0"/>
    <cellStyle name="Normal 2" xfId="16" xr:uid="{00000000-0005-0000-0000-000012000000}"/>
    <cellStyle name="Normal 3" xfId="17" xr:uid="{00000000-0005-0000-0000-000013000000}"/>
    <cellStyle name="Normal 3 2" xfId="18" xr:uid="{00000000-0005-0000-0000-000014000000}"/>
    <cellStyle name="Normal 3 3" xfId="19" xr:uid="{00000000-0005-0000-0000-000015000000}"/>
    <cellStyle name="Normal 4" xfId="20" xr:uid="{00000000-0005-0000-0000-000016000000}"/>
    <cellStyle name="Normal 4 2" xfId="21" xr:uid="{00000000-0005-0000-0000-000017000000}"/>
    <cellStyle name="Normal 5" xfId="22" xr:uid="{00000000-0005-0000-0000-000018000000}"/>
    <cellStyle name="Normal 5 2" xfId="23" xr:uid="{00000000-0005-0000-0000-000019000000}"/>
    <cellStyle name="Normal 6" xfId="24" xr:uid="{00000000-0005-0000-0000-00001A000000}"/>
    <cellStyle name="Normal 6 2" xfId="25" xr:uid="{00000000-0005-0000-0000-00001B000000}"/>
    <cellStyle name="Normal 6 3" xfId="26" xr:uid="{00000000-0005-0000-0000-00001C000000}"/>
    <cellStyle name="Normal 7" xfId="27" xr:uid="{00000000-0005-0000-0000-00001D000000}"/>
    <cellStyle name="Normal 7 2" xfId="28" xr:uid="{00000000-0005-0000-0000-00001E000000}"/>
    <cellStyle name="Normal 7 3" xfId="29" xr:uid="{00000000-0005-0000-0000-00001F000000}"/>
    <cellStyle name="Normal 8" xfId="30" xr:uid="{00000000-0005-0000-0000-000020000000}"/>
    <cellStyle name="Percent" xfId="37" builtinId="5"/>
    <cellStyle name="Percent 2" xfId="31" xr:uid="{00000000-0005-0000-0000-000022000000}"/>
    <cellStyle name="Percent 2 2" xfId="32" xr:uid="{00000000-0005-0000-0000-000023000000}"/>
    <cellStyle name="Percent 3" xfId="33" xr:uid="{00000000-0005-0000-0000-000024000000}"/>
    <cellStyle name="Percent 3 2" xfId="34" xr:uid="{00000000-0005-0000-0000-000025000000}"/>
  </cellStyles>
  <dxfs count="194">
    <dxf>
      <numFmt numFmtId="14" formatCode="0.00%"/>
      <alignment horizontal="right" vertical="bottom" textRotation="0" wrapText="0" indent="0" justifyLastLine="0" shrinkToFit="0" readingOrder="0"/>
    </dxf>
    <dxf>
      <numFmt numFmtId="168" formatCode="&quot;$&quot;#,##0.00"/>
      <alignment horizontal="right" vertical="bottom" textRotation="0" wrapText="0" indent="0" justifyLastLine="0" shrinkToFit="0" readingOrder="0"/>
    </dxf>
    <dxf>
      <numFmt numFmtId="168" formatCode="&quot;$&quot;#,##0.00"/>
      <alignment horizontal="right" vertical="bottom" textRotation="0" wrapText="0" indent="0" justifyLastLine="0" shrinkToFit="0" readingOrder="0"/>
    </dxf>
    <dxf>
      <numFmt numFmtId="168" formatCode="&quot;$&quot;#,##0.00"/>
      <alignment horizontal="right" vertical="bottom" textRotation="0" wrapText="0" indent="0" justifyLastLine="0" shrinkToFit="0" readingOrder="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alignment horizontal="right" vertical="center" textRotation="0" wrapText="0" indent="0" justifyLastLine="0" shrinkToFit="0" readingOrder="0"/>
      <protection locked="1" hidden="1"/>
    </dxf>
    <dxf>
      <numFmt numFmtId="168" formatCode="&quot;$&quot;#,##0.00"/>
      <alignment horizontal="right" vertical="center" textRotation="0" wrapText="0" indent="0" justifyLastLine="0" shrinkToFit="0" readingOrder="0"/>
      <protection locked="1" hidden="1"/>
    </dxf>
    <dxf>
      <numFmt numFmtId="1" formatCode="0"/>
      <alignment horizontal="center" vertical="center" textRotation="0" wrapText="0" indent="0" justifyLastLine="0" shrinkToFit="0" readingOrder="0"/>
      <protection locked="0" hidden="1"/>
    </dxf>
    <dxf>
      <alignment horizontal="general" vertical="center" textRotation="0" wrapText="0" indent="0" justifyLastLine="0" shrinkToFit="0" readingOrder="0"/>
      <protection locked="1" hidden="1"/>
    </dxf>
    <dxf>
      <alignment horizontal="general" vertical="center" textRotation="0" wrapText="0" indent="0" justifyLastLine="0" shrinkToFit="0" readingOrder="0"/>
      <protection locked="1" hidden="1"/>
    </dxf>
    <dxf>
      <alignment horizontal="left"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left" vertical="center" textRotation="0" wrapText="0" indent="0" justifyLastLine="0" shrinkToFit="0" readingOrder="0"/>
      <protection locked="1" hidden="1"/>
    </dxf>
    <dxf>
      <fill>
        <patternFill>
          <bgColor rgb="FFFFFF00"/>
        </patternFill>
      </fill>
    </dxf>
    <dxf>
      <font>
        <color theme="1"/>
      </font>
      <fill>
        <patternFill>
          <bgColor rgb="FF92D050"/>
        </patternFill>
      </fill>
    </dxf>
    <dxf>
      <font>
        <b/>
        <i val="0"/>
        <color rgb="FFFF0000"/>
      </font>
      <fill>
        <patternFill>
          <bgColor rgb="FFFFFF00"/>
        </patternFill>
      </fill>
    </dxf>
    <dxf>
      <font>
        <color theme="0" tint="-0.499984740745262"/>
      </font>
      <fill>
        <patternFill>
          <fgColor indexed="64"/>
          <bgColor theme="0" tint="-0.14993743705557422"/>
        </patternFill>
      </fill>
    </dxf>
    <dxf>
      <numFmt numFmtId="176" formatCode="m/d/yyyy"/>
    </dxf>
    <dxf>
      <font>
        <b/>
        <i val="0"/>
        <strike val="0"/>
        <condense val="0"/>
        <extend val="0"/>
        <outline val="0"/>
        <shadow val="0"/>
        <u val="none"/>
        <vertAlign val="baseline"/>
        <sz val="11"/>
        <color theme="1"/>
        <name val="Calibri"/>
        <family val="2"/>
        <scheme val="minor"/>
      </font>
      <numFmt numFmtId="171" formatCode="00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76" formatCode="m/d/yyyy"/>
      <border diagonalUp="0" diagonalDown="0" outline="0">
        <left/>
        <right style="thin">
          <color indexed="64"/>
        </right>
        <top style="thin">
          <color indexed="64"/>
        </top>
        <bottom style="thin">
          <color indexed="64"/>
        </bottom>
      </border>
    </dxf>
    <dxf>
      <font>
        <b/>
      </font>
      <numFmt numFmtId="174" formatCode="#000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protection locked="1" hidden="0"/>
    </dxf>
    <dxf>
      <protection locked="1" hidden="0"/>
    </dxf>
    <dxf>
      <protection locked="1" hidden="0"/>
    </dxf>
    <dxf>
      <font>
        <b/>
        <i val="0"/>
        <strike val="0"/>
        <condense val="0"/>
        <extend val="0"/>
        <outline val="0"/>
        <shadow val="0"/>
        <u val="none"/>
        <vertAlign val="baseline"/>
        <sz val="11"/>
        <color theme="1"/>
        <name val="Calibri"/>
        <scheme val="minor"/>
      </font>
      <protection locked="1" hidden="0"/>
    </dxf>
    <dxf>
      <numFmt numFmtId="168" formatCode="&quot;$&quot;#,##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numFmt numFmtId="168" formatCode="&quot;$&quot;#,##0.00"/>
      <fill>
        <patternFill patternType="solid">
          <fgColor indexed="64"/>
          <bgColor theme="3" tint="0.79998168889431442"/>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3"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font>
      <numFmt numFmtId="173" formatCode="&quot;$&quot;#,##0.000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4"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92D05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b/>
        <color theme="1" tint="4.9989318521683403E-2"/>
      </font>
      <numFmt numFmtId="175" formatCode="_(* #,##0.000000_);_(* \(#,##0.000000\);_(* &quot;-&quot;??????_);_(@_)"/>
      <fill>
        <patternFill patternType="solid">
          <fgColor indexed="64"/>
          <bgColor theme="3"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9"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165" formatCode="&quot;$&quot;#,##0.00_);\(&quot;$&quot;#,##0.00\)"/>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3"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3"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3"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3"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3"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fill>
        <patternFill patternType="solid">
          <fgColor indexed="64"/>
          <bgColor theme="3"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
      <font>
        <b/>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alignment horizontal="left"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39997558519241921"/>
        </patternFill>
      </fill>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medium">
          <color theme="1"/>
        </top>
        <bottom style="thin">
          <color theme="4" tint="0.39997558519241921"/>
        </bottom>
      </border>
    </dxf>
    <dxf>
      <border outline="0">
        <bottom style="thin">
          <color indexed="64"/>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4" formatCode="0.00%"/>
      <alignment horizontal="right" textRotation="0" wrapText="0" indent="0" justifyLastLine="0" shrinkToFit="0" readingOrder="0"/>
    </dxf>
    <dxf>
      <numFmt numFmtId="168" formatCode="&quot;$&quot;#,##0.00"/>
      <alignment horizontal="right" textRotation="0" wrapText="0" indent="0" justifyLastLine="0" shrinkToFit="0" readingOrder="0"/>
    </dxf>
    <dxf>
      <numFmt numFmtId="168" formatCode="&quot;$&quot;#,##0.00"/>
      <alignment horizontal="right" textRotation="0" wrapText="0" indent="0" justifyLastLine="0" shrinkToFit="0" readingOrder="0"/>
    </dxf>
    <dxf>
      <numFmt numFmtId="168" formatCode="&quot;$&quot;#,##0.00"/>
      <alignment horizontal="right" textRotation="0" wrapText="0" indent="0" justifyLastLine="0" shrinkToFit="0" readingOrder="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protection locked="1" hidden="1"/>
    </dxf>
    <dxf>
      <font>
        <b val="0"/>
      </font>
      <numFmt numFmtId="168" formatCode="&quot;$&quot;#,##0.00"/>
      <alignment vertical="center" textRotation="0" wrapText="0" indent="0" justifyLastLine="0" shrinkToFit="0" readingOrder="0"/>
      <protection locked="1" hidden="1"/>
    </dxf>
    <dxf>
      <font>
        <b val="0"/>
      </font>
      <numFmt numFmtId="1" formatCode="0"/>
      <fill>
        <patternFill patternType="none">
          <fgColor indexed="64"/>
          <bgColor indexed="65"/>
        </patternFill>
      </fill>
      <alignment horizontal="center" vertical="center" textRotation="0" wrapText="0" indent="0" justifyLastLine="0" shrinkToFit="0" readingOrder="0"/>
      <protection locked="0" hidden="1"/>
    </dxf>
    <dxf>
      <font>
        <b val="0"/>
      </font>
      <numFmt numFmtId="0" formatCode="General"/>
      <fill>
        <patternFill patternType="none">
          <fgColor indexed="64"/>
          <bgColor indexed="65"/>
        </patternFill>
      </fill>
      <alignment horizontal="general" vertical="center" textRotation="0" wrapText="0" indent="0" justifyLastLine="0" shrinkToFit="0" readingOrder="0"/>
      <protection locked="1" hidden="1"/>
    </dxf>
    <dxf>
      <font>
        <b val="0"/>
      </font>
      <numFmt numFmtId="0" formatCode="General"/>
      <fill>
        <patternFill patternType="none">
          <fgColor indexed="64"/>
          <bgColor indexed="65"/>
        </patternFill>
      </fill>
      <alignment horizontal="general" vertical="center" textRotation="0" wrapText="0" indent="0" justifyLastLine="0" shrinkToFit="0" readingOrder="0"/>
      <protection locked="1" hidden="1"/>
    </dxf>
    <dxf>
      <font>
        <b val="0"/>
      </font>
      <numFmt numFmtId="0" formatCode="General"/>
      <fill>
        <patternFill patternType="none">
          <fgColor indexed="64"/>
          <bgColor indexed="65"/>
        </patternFill>
      </fill>
      <alignment horizontal="left" vertical="center" textRotation="0" wrapText="0" indent="0" justifyLastLine="0" shrinkToFit="0" readingOrder="0"/>
      <protection locked="1" hidden="1"/>
    </dxf>
    <dxf>
      <font>
        <b val="0"/>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font>
      <numFmt numFmtId="0" formatCode="General"/>
      <fill>
        <patternFill patternType="none">
          <fgColor indexed="64"/>
          <bgColor indexed="65"/>
        </patternFill>
      </fill>
      <alignment horizontal="left" vertical="center" textRotation="0" wrapText="0" indent="0" justifyLastLine="0" shrinkToFit="0" readingOrder="0"/>
      <protection locked="1" hidden="1"/>
    </dxf>
    <dxf>
      <alignment vertical="center" textRotation="0" wrapText="0" indent="0" justifyLastLine="0" shrinkToFit="0" readingOrder="0"/>
      <protection locked="1" hidden="1"/>
    </dxf>
    <dxf>
      <numFmt numFmtId="0" formatCode="General"/>
      <fill>
        <patternFill patternType="none">
          <fgColor indexed="64"/>
          <bgColor indexed="65"/>
        </patternFill>
      </fill>
      <alignment vertical="center" textRotation="0" wrapText="0" indent="0" justifyLastLine="0" shrinkToFit="0" readingOrder="0"/>
      <protection locked="1" hidden="1"/>
    </dxf>
    <dxf>
      <border>
        <bottom style="thin">
          <color indexed="64"/>
        </bottom>
      </border>
    </dxf>
    <dxf>
      <font>
        <b/>
        <i val="0"/>
        <strike val="0"/>
        <condense val="0"/>
        <extend val="0"/>
        <outline val="0"/>
        <shadow val="0"/>
        <u val="none"/>
        <vertAlign val="baseline"/>
        <sz val="11"/>
        <color theme="1"/>
        <name val="Calibri"/>
        <scheme val="minor"/>
      </font>
      <alignmen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114696</xdr:colOff>
      <xdr:row>1</xdr:row>
      <xdr:rowOff>94455</xdr:rowOff>
    </xdr:from>
    <xdr:to>
      <xdr:col>3</xdr:col>
      <xdr:colOff>38100</xdr:colOff>
      <xdr:row>1</xdr:row>
      <xdr:rowOff>323055</xdr:rowOff>
    </xdr:to>
    <xdr:sp macro="[0]!AddNewDeviceBtn" textlink="" fLocksText="0">
      <xdr:nvSpPr>
        <xdr:cNvPr id="15" name="SummaryOrderButton">
          <a:extLst>
            <a:ext uri="{FF2B5EF4-FFF2-40B4-BE49-F238E27FC236}">
              <a16:creationId xmlns:a16="http://schemas.microsoft.com/office/drawing/2014/main" id="{00000000-0008-0000-0000-00000F000000}"/>
            </a:ext>
          </a:extLst>
        </xdr:cNvPr>
        <xdr:cNvSpPr/>
      </xdr:nvSpPr>
      <xdr:spPr>
        <a:xfrm>
          <a:off x="314721" y="827880"/>
          <a:ext cx="1618854" cy="228600"/>
        </a:xfrm>
        <a:prstGeom prst="roundRect">
          <a:avLst/>
        </a:prstGeom>
        <a:solidFill>
          <a:schemeClr val="accent1">
            <a:lumMod val="60000"/>
            <a:lumOff val="40000"/>
          </a:schemeClr>
        </a:solidFill>
        <a:ln cap="flat">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ADD NEW DEVICE</a:t>
          </a:r>
        </a:p>
      </xdr:txBody>
    </xdr:sp>
    <xdr:clientData fLocksWithSheet="0"/>
  </xdr:twoCellAnchor>
  <xdr:twoCellAnchor editAs="oneCell">
    <xdr:from>
      <xdr:col>3</xdr:col>
      <xdr:colOff>86122</xdr:colOff>
      <xdr:row>1</xdr:row>
      <xdr:rowOff>103982</xdr:rowOff>
    </xdr:from>
    <xdr:to>
      <xdr:col>4</xdr:col>
      <xdr:colOff>1501538</xdr:colOff>
      <xdr:row>1</xdr:row>
      <xdr:rowOff>326867</xdr:rowOff>
    </xdr:to>
    <xdr:sp macro="[0]!modifySWitem" textlink="" fLocksText="0">
      <xdr:nvSpPr>
        <xdr:cNvPr id="16" name="SummaryOrderButton">
          <a:extLst>
            <a:ext uri="{FF2B5EF4-FFF2-40B4-BE49-F238E27FC236}">
              <a16:creationId xmlns:a16="http://schemas.microsoft.com/office/drawing/2014/main" id="{00000000-0008-0000-0000-000010000000}"/>
            </a:ext>
          </a:extLst>
        </xdr:cNvPr>
        <xdr:cNvSpPr/>
      </xdr:nvSpPr>
      <xdr:spPr>
        <a:xfrm>
          <a:off x="1981597" y="837407"/>
          <a:ext cx="2962276" cy="228600"/>
        </a:xfrm>
        <a:prstGeom prst="roundRect">
          <a:avLst/>
        </a:prstGeom>
        <a:solidFill>
          <a:schemeClr val="accent1">
            <a:lumMod val="60000"/>
            <a:lumOff val="40000"/>
          </a:schemeClr>
        </a:solidFill>
        <a:ln cap="flat">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MODIFY ITEM SELECTED IN SOLIDWORKS</a:t>
          </a:r>
        </a:p>
      </xdr:txBody>
    </xdr:sp>
    <xdr:clientData fLocksWithSheet="0"/>
  </xdr:twoCellAnchor>
  <xdr:twoCellAnchor editAs="oneCell">
    <xdr:from>
      <xdr:col>3</xdr:col>
      <xdr:colOff>86122</xdr:colOff>
      <xdr:row>1</xdr:row>
      <xdr:rowOff>380205</xdr:rowOff>
    </xdr:from>
    <xdr:to>
      <xdr:col>4</xdr:col>
      <xdr:colOff>1501538</xdr:colOff>
      <xdr:row>1</xdr:row>
      <xdr:rowOff>608805</xdr:rowOff>
    </xdr:to>
    <xdr:sp macro="[0]!copySWitem" textlink="" fLocksText="0">
      <xdr:nvSpPr>
        <xdr:cNvPr id="17" name="SummaryOrderButton">
          <a:extLst>
            <a:ext uri="{FF2B5EF4-FFF2-40B4-BE49-F238E27FC236}">
              <a16:creationId xmlns:a16="http://schemas.microsoft.com/office/drawing/2014/main" id="{00000000-0008-0000-0000-000011000000}"/>
            </a:ext>
          </a:extLst>
        </xdr:cNvPr>
        <xdr:cNvSpPr/>
      </xdr:nvSpPr>
      <xdr:spPr>
        <a:xfrm>
          <a:off x="1981597" y="1113630"/>
          <a:ext cx="2962276" cy="228600"/>
        </a:xfrm>
        <a:prstGeom prst="roundRect">
          <a:avLst/>
        </a:prstGeom>
        <a:solidFill>
          <a:schemeClr val="accent1">
            <a:lumMod val="60000"/>
            <a:lumOff val="40000"/>
          </a:schemeClr>
        </a:solidFill>
        <a:ln cap="flat">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COPY ITEM SELECTED IN SOLIDWORKS</a:t>
          </a:r>
        </a:p>
      </xdr:txBody>
    </xdr:sp>
    <xdr:clientData fLocksWithSheet="0"/>
  </xdr:twoCellAnchor>
  <xdr:twoCellAnchor editAs="oneCell">
    <xdr:from>
      <xdr:col>3</xdr:col>
      <xdr:colOff>785018</xdr:colOff>
      <xdr:row>0</xdr:row>
      <xdr:rowOff>271064</xdr:rowOff>
    </xdr:from>
    <xdr:to>
      <xdr:col>4</xdr:col>
      <xdr:colOff>706595</xdr:colOff>
      <xdr:row>0</xdr:row>
      <xdr:rowOff>571499</xdr:rowOff>
    </xdr:to>
    <xdr:sp macro="[0]!LaunchContactForm" textlink="" fLocksText="0">
      <xdr:nvSpPr>
        <xdr:cNvPr id="18" name="SummaryOrderButton">
          <a:extLst>
            <a:ext uri="{FF2B5EF4-FFF2-40B4-BE49-F238E27FC236}">
              <a16:creationId xmlns:a16="http://schemas.microsoft.com/office/drawing/2014/main" id="{00000000-0008-0000-0000-000012000000}"/>
            </a:ext>
          </a:extLst>
        </xdr:cNvPr>
        <xdr:cNvSpPr/>
      </xdr:nvSpPr>
      <xdr:spPr>
        <a:xfrm>
          <a:off x="2680493" y="271064"/>
          <a:ext cx="1458912" cy="300435"/>
        </a:xfrm>
        <a:prstGeom prst="roundRect">
          <a:avLst/>
        </a:prstGeom>
        <a:solidFill>
          <a:schemeClr val="accent1">
            <a:lumMod val="60000"/>
            <a:lumOff val="40000"/>
          </a:schemeClr>
        </a:solidFill>
        <a:ln cap="flat">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SUBMIT INQUIRY</a:t>
          </a:r>
        </a:p>
      </xdr:txBody>
    </xdr:sp>
    <xdr:clientData fLocksWithSheet="0"/>
  </xdr:twoCellAnchor>
  <xdr:twoCellAnchor editAs="oneCell">
    <xdr:from>
      <xdr:col>1</xdr:col>
      <xdr:colOff>114696</xdr:colOff>
      <xdr:row>1</xdr:row>
      <xdr:rowOff>370680</xdr:rowOff>
    </xdr:from>
    <xdr:to>
      <xdr:col>3</xdr:col>
      <xdr:colOff>38100</xdr:colOff>
      <xdr:row>1</xdr:row>
      <xdr:rowOff>593565</xdr:rowOff>
    </xdr:to>
    <xdr:sp macro="[0]!CountParts" textlink="" fLocksText="0">
      <xdr:nvSpPr>
        <xdr:cNvPr id="19" name="SummaryOrderButton">
          <a:extLst>
            <a:ext uri="{FF2B5EF4-FFF2-40B4-BE49-F238E27FC236}">
              <a16:creationId xmlns:a16="http://schemas.microsoft.com/office/drawing/2014/main" id="{00000000-0008-0000-0000-000013000000}"/>
            </a:ext>
          </a:extLst>
        </xdr:cNvPr>
        <xdr:cNvSpPr/>
      </xdr:nvSpPr>
      <xdr:spPr>
        <a:xfrm>
          <a:off x="314721" y="1104105"/>
          <a:ext cx="1618854" cy="228600"/>
        </a:xfrm>
        <a:prstGeom prst="roundRect">
          <a:avLst/>
        </a:prstGeom>
        <a:solidFill>
          <a:schemeClr val="accent1">
            <a:lumMod val="60000"/>
            <a:lumOff val="40000"/>
          </a:schemeClr>
        </a:solidFill>
        <a:ln cap="flat">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COUNT PARTS IN SW</a:t>
          </a:r>
        </a:p>
      </xdr:txBody>
    </xdr:sp>
    <xdr:clientData fLocksWithSheet="0"/>
  </xdr:twoCellAnchor>
  <xdr:twoCellAnchor editAs="absolute">
    <xdr:from>
      <xdr:col>7</xdr:col>
      <xdr:colOff>266700</xdr:colOff>
      <xdr:row>1</xdr:row>
      <xdr:rowOff>133350</xdr:rowOff>
    </xdr:from>
    <xdr:to>
      <xdr:col>8</xdr:col>
      <xdr:colOff>784464</xdr:colOff>
      <xdr:row>1</xdr:row>
      <xdr:rowOff>361950</xdr:rowOff>
    </xdr:to>
    <xdr:sp macro="[0]!Recalc_All" textlink="">
      <xdr:nvSpPr>
        <xdr:cNvPr id="11" name="GLINTERNAL_RECALC_btn">
          <a:extLst>
            <a:ext uri="{FF2B5EF4-FFF2-40B4-BE49-F238E27FC236}">
              <a16:creationId xmlns:a16="http://schemas.microsoft.com/office/drawing/2014/main" id="{00000000-0008-0000-0000-00000B000000}"/>
            </a:ext>
          </a:extLst>
        </xdr:cNvPr>
        <xdr:cNvSpPr/>
      </xdr:nvSpPr>
      <xdr:spPr>
        <a:xfrm>
          <a:off x="13363575" y="981075"/>
          <a:ext cx="1618854" cy="228600"/>
        </a:xfrm>
        <a:prstGeom prst="roundRect">
          <a:avLst/>
        </a:prstGeom>
        <a:solidFill>
          <a:schemeClr val="accent1">
            <a:lumMod val="60000"/>
            <a:lumOff val="40000"/>
          </a:schemeClr>
        </a:solidFill>
        <a:ln cap="flat">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RECALCULATE</a:t>
          </a:r>
        </a:p>
      </xdr:txBody>
    </xdr:sp>
    <xdr:clientData fPrintsWithSheet="0"/>
  </xdr:twoCellAnchor>
  <xdr:twoCellAnchor editAs="oneCell">
    <xdr:from>
      <xdr:col>1</xdr:col>
      <xdr:colOff>0</xdr:colOff>
      <xdr:row>0</xdr:row>
      <xdr:rowOff>95250</xdr:rowOff>
    </xdr:from>
    <xdr:to>
      <xdr:col>3</xdr:col>
      <xdr:colOff>645617</xdr:colOff>
      <xdr:row>0</xdr:row>
      <xdr:rowOff>741482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00025" y="95250"/>
          <a:ext cx="2341067" cy="6462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238125</xdr:colOff>
      <xdr:row>7</xdr:row>
      <xdr:rowOff>76200</xdr:rowOff>
    </xdr:from>
    <xdr:to>
      <xdr:col>8</xdr:col>
      <xdr:colOff>361950</xdr:colOff>
      <xdr:row>9</xdr:row>
      <xdr:rowOff>161925</xdr:rowOff>
    </xdr:to>
    <xdr:sp macro="" textlink="">
      <xdr:nvSpPr>
        <xdr:cNvPr id="3077" name="Create_IMPACTData_Btn" hidden="1">
          <a:extLst>
            <a:ext uri="{63B3BB69-23CF-44E3-9099-C40C66FF867C}">
              <a14:compatExt xmlns:a14="http://schemas.microsoft.com/office/drawing/2010/main" spid="_x0000_s3077"/>
            </a:ext>
            <a:ext uri="{FF2B5EF4-FFF2-40B4-BE49-F238E27FC236}">
              <a16:creationId xmlns:a16="http://schemas.microsoft.com/office/drawing/2014/main" id="{00000000-0008-0000-0A00-000005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228600</xdr:colOff>
      <xdr:row>4</xdr:row>
      <xdr:rowOff>0</xdr:rowOff>
    </xdr:from>
    <xdr:to>
      <xdr:col>8</xdr:col>
      <xdr:colOff>352425</xdr:colOff>
      <xdr:row>6</xdr:row>
      <xdr:rowOff>85725</xdr:rowOff>
    </xdr:to>
    <xdr:sp macro="" textlink="">
      <xdr:nvSpPr>
        <xdr:cNvPr id="3080" name="Create_IMPACT_Btn" hidden="1">
          <a:extLst>
            <a:ext uri="{63B3BB69-23CF-44E3-9099-C40C66FF867C}">
              <a14:compatExt xmlns:a14="http://schemas.microsoft.com/office/drawing/2010/main" spid="_x0000_s3080"/>
            </a:ext>
            <a:ext uri="{FF2B5EF4-FFF2-40B4-BE49-F238E27FC236}">
              <a16:creationId xmlns:a16="http://schemas.microsoft.com/office/drawing/2014/main" id="{00000000-0008-0000-0A00-000008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257175</xdr:colOff>
      <xdr:row>10</xdr:row>
      <xdr:rowOff>133350</xdr:rowOff>
    </xdr:from>
    <xdr:to>
      <xdr:col>8</xdr:col>
      <xdr:colOff>381000</xdr:colOff>
      <xdr:row>13</xdr:row>
      <xdr:rowOff>28575</xdr:rowOff>
    </xdr:to>
    <xdr:sp macro="" textlink="">
      <xdr:nvSpPr>
        <xdr:cNvPr id="3086" name="Import_DataTables" hidden="1">
          <a:extLst>
            <a:ext uri="{63B3BB69-23CF-44E3-9099-C40C66FF867C}">
              <a14:compatExt xmlns:a14="http://schemas.microsoft.com/office/drawing/2010/main" spid="_x0000_s3086"/>
            </a:ext>
            <a:ext uri="{FF2B5EF4-FFF2-40B4-BE49-F238E27FC236}">
              <a16:creationId xmlns:a16="http://schemas.microsoft.com/office/drawing/2014/main" id="{00000000-0008-0000-0A00-00000E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4</xdr:col>
          <xdr:colOff>241300</xdr:colOff>
          <xdr:row>7</xdr:row>
          <xdr:rowOff>76200</xdr:rowOff>
        </xdr:from>
        <xdr:to>
          <xdr:col>8</xdr:col>
          <xdr:colOff>228600</xdr:colOff>
          <xdr:row>9</xdr:row>
          <xdr:rowOff>171450</xdr:rowOff>
        </xdr:to>
        <xdr:sp macro="" textlink="">
          <xdr:nvSpPr>
            <xdr:cNvPr id="2" name="Create_IMPACTData_Btn" hidden="1">
              <a:extLst>
                <a:ext uri="{63B3BB69-23CF-44E3-9099-C40C66FF867C}">
                  <a14:compatExt spid="_x0000_s3077"/>
                </a:ext>
                <a:ext uri="{FF2B5EF4-FFF2-40B4-BE49-F238E27FC236}">
                  <a16:creationId xmlns:a16="http://schemas.microsoft.com/office/drawing/2014/main" id="{00000000-0008-0000-0A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4</xdr:row>
          <xdr:rowOff>0</xdr:rowOff>
        </xdr:from>
        <xdr:to>
          <xdr:col>8</xdr:col>
          <xdr:colOff>222250</xdr:colOff>
          <xdr:row>6</xdr:row>
          <xdr:rowOff>95250</xdr:rowOff>
        </xdr:to>
        <xdr:sp macro="" textlink="">
          <xdr:nvSpPr>
            <xdr:cNvPr id="3" name="Create_IMPACT_Btn" hidden="1">
              <a:extLst>
                <a:ext uri="{63B3BB69-23CF-44E3-9099-C40C66FF867C}">
                  <a14:compatExt spid="_x0000_s3080"/>
                </a:ext>
                <a:ext uri="{FF2B5EF4-FFF2-40B4-BE49-F238E27FC236}">
                  <a16:creationId xmlns:a16="http://schemas.microsoft.com/office/drawing/2014/main" id="{00000000-0008-0000-0A00-00000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10</xdr:row>
          <xdr:rowOff>133350</xdr:rowOff>
        </xdr:from>
        <xdr:to>
          <xdr:col>8</xdr:col>
          <xdr:colOff>247650</xdr:colOff>
          <xdr:row>13</xdr:row>
          <xdr:rowOff>44450</xdr:rowOff>
        </xdr:to>
        <xdr:sp macro="" textlink="">
          <xdr:nvSpPr>
            <xdr:cNvPr id="4" name="Import_ImpactDataTables" hidden="1">
              <a:extLst>
                <a:ext uri="{63B3BB69-23CF-44E3-9099-C40C66FF867C}">
                  <a14:compatExt spid="_x0000_s3086"/>
                </a:ext>
                <a:ext uri="{FF2B5EF4-FFF2-40B4-BE49-F238E27FC236}">
                  <a16:creationId xmlns:a16="http://schemas.microsoft.com/office/drawing/2014/main" id="{00000000-0008-0000-0A00-000004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UMMARY_TABLE" displayName="SUMMARY_TABLE" ref="B3:BH8" totalsRowCount="1" headerRowDxfId="193" dataDxfId="191" totalsRowDxfId="190" headerRowBorderDxfId="192">
  <tableColumns count="59">
    <tableColumn id="8" xr3:uid="{00000000-0010-0000-0000-000008000000}" name="REFERENCE ID" dataDxfId="189" totalsRowDxfId="51"/>
    <tableColumn id="49" xr3:uid="{00000000-0010-0000-0000-000031000000}" name="IN SCOPE" dataDxfId="188" totalsRowDxfId="50"/>
    <tableColumn id="50" xr3:uid="{00000000-0010-0000-0000-000032000000}" name="USER DESCRIPTION" dataDxfId="187" totalsRowDxfId="49"/>
    <tableColumn id="1" xr3:uid="{00000000-0010-0000-0000-000001000000}" name="PART NUMBER" dataDxfId="186" totalsRowDxfId="48"/>
    <tableColumn id="2" xr3:uid="{00000000-0010-0000-0000-000002000000}" name="DESCRIPTION" dataDxfId="185" totalsRowDxfId="47"/>
    <tableColumn id="5" xr3:uid="{00000000-0010-0000-0000-000005000000}" name="QTY" totalsRowFunction="sum" dataDxfId="184" totalsRowDxfId="46" dataCellStyle="Comma"/>
    <tableColumn id="6" xr3:uid="{00000000-0010-0000-0000-000006000000}" name="LIST PRICE" totalsRowLabel="TOTAL" dataDxfId="183" totalsRowDxfId="45" dataCellStyle="Currency">
      <calculatedColumnFormula>ROUND(SUMIF(IMPACT_BOM_Table[REFERENCE_ID],SUMMARY_TABLE[[#This Row],[REFERENCE ID]],IMPACT_BOM_Table[LIST PRICE]),2)</calculatedColumnFormula>
    </tableColumn>
    <tableColumn id="7" xr3:uid="{00000000-0010-0000-0000-000007000000}" name="EXTENDED" totalsRowFunction="custom" dataDxfId="182" totalsRowDxfId="44" dataCellStyle="Currency">
      <calculatedColumnFormula>SUMMARY_TABLE[[#This Row],[QTY]]*SUMMARY_TABLE[[#This Row],[LIST PRICE]]</calculatedColumnFormula>
      <totalsRowFormula>SUMIF(SUMMARY_TABLE[IN SCOPE],"YES",SUMMARY_TABLE[EXTENDED])</totalsRowFormula>
    </tableColumn>
    <tableColumn id="9" xr3:uid="{00000000-0010-0000-0000-000009000000}" name="WARNING FLAG" dataDxfId="181" totalsRowDxfId="43"/>
    <tableColumn id="10" xr3:uid="{00000000-0010-0000-0000-00000A000000}" name="DATA01" dataDxfId="180" totalsRowDxfId="42"/>
    <tableColumn id="11" xr3:uid="{00000000-0010-0000-0000-00000B000000}" name="DATA02" dataDxfId="179" totalsRowDxfId="41"/>
    <tableColumn id="12" xr3:uid="{00000000-0010-0000-0000-00000C000000}" name="DATA03" dataDxfId="178" totalsRowDxfId="40"/>
    <tableColumn id="13" xr3:uid="{00000000-0010-0000-0000-00000D000000}" name="DATA04" dataDxfId="177" totalsRowDxfId="39"/>
    <tableColumn id="14" xr3:uid="{00000000-0010-0000-0000-00000E000000}" name="DATA05" dataDxfId="176" totalsRowDxfId="38"/>
    <tableColumn id="15" xr3:uid="{00000000-0010-0000-0000-00000F000000}" name="DATA06" dataDxfId="175" totalsRowDxfId="37"/>
    <tableColumn id="16" xr3:uid="{00000000-0010-0000-0000-000010000000}" name="DATA07" dataDxfId="174" totalsRowDxfId="36"/>
    <tableColumn id="17" xr3:uid="{00000000-0010-0000-0000-000011000000}" name="DATA08" dataDxfId="173" totalsRowDxfId="35"/>
    <tableColumn id="18" xr3:uid="{00000000-0010-0000-0000-000012000000}" name="DATA09" dataDxfId="172" totalsRowDxfId="34"/>
    <tableColumn id="19" xr3:uid="{00000000-0010-0000-0000-000013000000}" name="DATA10" totalsRowFunction="sum" dataDxfId="171" totalsRowDxfId="33"/>
    <tableColumn id="20" xr3:uid="{00000000-0010-0000-0000-000014000000}" name="DATA11" totalsRowFunction="sum" dataDxfId="170" totalsRowDxfId="32"/>
    <tableColumn id="21" xr3:uid="{00000000-0010-0000-0000-000015000000}" name="DATA12" dataDxfId="169" totalsRowDxfId="31"/>
    <tableColumn id="22" xr3:uid="{00000000-0010-0000-0000-000016000000}" name="DATA13" dataDxfId="168" totalsRowDxfId="30"/>
    <tableColumn id="23" xr3:uid="{00000000-0010-0000-0000-000017000000}" name="DATA14" dataDxfId="167" totalsRowDxfId="29"/>
    <tableColumn id="24" xr3:uid="{00000000-0010-0000-0000-000018000000}" name="DATA15" dataDxfId="166" totalsRowDxfId="28"/>
    <tableColumn id="25" xr3:uid="{00000000-0010-0000-0000-000019000000}" name="DATA16" dataDxfId="165" totalsRowDxfId="27"/>
    <tableColumn id="26" xr3:uid="{00000000-0010-0000-0000-00001A000000}" name="DATA17" dataDxfId="164" totalsRowDxfId="26"/>
    <tableColumn id="27" xr3:uid="{00000000-0010-0000-0000-00001B000000}" name="DATA18" dataDxfId="163" totalsRowDxfId="25"/>
    <tableColumn id="28" xr3:uid="{00000000-0010-0000-0000-00001C000000}" name="DATA19" dataDxfId="162" totalsRowDxfId="24"/>
    <tableColumn id="29" xr3:uid="{00000000-0010-0000-0000-00001D000000}" name="DATA20" dataDxfId="161" totalsRowDxfId="23"/>
    <tableColumn id="30" xr3:uid="{00000000-0010-0000-0000-00001E000000}" name="DATA21" dataDxfId="160" totalsRowDxfId="22"/>
    <tableColumn id="31" xr3:uid="{00000000-0010-0000-0000-00001F000000}" name="DATA22" dataDxfId="159" totalsRowDxfId="21"/>
    <tableColumn id="32" xr3:uid="{00000000-0010-0000-0000-000020000000}" name="DATA23" dataDxfId="158" totalsRowDxfId="20"/>
    <tableColumn id="33" xr3:uid="{00000000-0010-0000-0000-000021000000}" name="DATA24" dataDxfId="157" totalsRowDxfId="19"/>
    <tableColumn id="34" xr3:uid="{00000000-0010-0000-0000-000022000000}" name="DATA25" dataDxfId="156" totalsRowDxfId="18"/>
    <tableColumn id="35" xr3:uid="{00000000-0010-0000-0000-000023000000}" name="DATA26" dataDxfId="155" totalsRowDxfId="17"/>
    <tableColumn id="36" xr3:uid="{00000000-0010-0000-0000-000024000000}" name="DATA27" dataDxfId="154" totalsRowDxfId="16"/>
    <tableColumn id="37" xr3:uid="{00000000-0010-0000-0000-000025000000}" name="DATA28" dataDxfId="153" totalsRowDxfId="15"/>
    <tableColumn id="38" xr3:uid="{00000000-0010-0000-0000-000026000000}" name="DATA29" dataDxfId="152" totalsRowDxfId="14"/>
    <tableColumn id="39" xr3:uid="{00000000-0010-0000-0000-000027000000}" name="DATA30" dataDxfId="151" totalsRowDxfId="13"/>
    <tableColumn id="40" xr3:uid="{00000000-0010-0000-0000-000028000000}" name="DATA31" dataDxfId="150" totalsRowDxfId="12"/>
    <tableColumn id="41" xr3:uid="{00000000-0010-0000-0000-000029000000}" name="DATA32" dataDxfId="149" totalsRowDxfId="11"/>
    <tableColumn id="42" xr3:uid="{00000000-0010-0000-0000-00002A000000}" name="DATA33" dataDxfId="148" totalsRowDxfId="10"/>
    <tableColumn id="43" xr3:uid="{00000000-0010-0000-0000-00002B000000}" name="DATA34" dataDxfId="147" totalsRowDxfId="9"/>
    <tableColumn id="44" xr3:uid="{00000000-0010-0000-0000-00002C000000}" name="DATA35" dataDxfId="146" totalsRowDxfId="8"/>
    <tableColumn id="45" xr3:uid="{00000000-0010-0000-0000-00002D000000}" name="DATA36" dataDxfId="145" totalsRowDxfId="7"/>
    <tableColumn id="46" xr3:uid="{00000000-0010-0000-0000-00002E000000}" name="DATA37" dataDxfId="144" totalsRowDxfId="6"/>
    <tableColumn id="47" xr3:uid="{00000000-0010-0000-0000-00002F000000}" name="DATA38" dataDxfId="143" totalsRowDxfId="5"/>
    <tableColumn id="48" xr3:uid="{00000000-0010-0000-0000-000030000000}" name="DATA39" dataDxfId="142" totalsRowDxfId="4"/>
    <tableColumn id="51" xr3:uid="{00000000-0010-0000-0000-000033000000}" name="SELL PRICE" totalsRowFunction="custom" dataDxfId="141" totalsRowDxfId="3">
      <totalsRowFormula>SUMIF(SUMMARY_TABLE[IN SCOPE],"YES",SUMMARY_TABLE[SELL PRICE])</totalsRowFormula>
    </tableColumn>
    <tableColumn id="52" xr3:uid="{00000000-0010-0000-0000-000034000000}" name="UNIT COST" totalsRowFunction="custom" dataDxfId="140" totalsRowDxfId="2">
      <totalsRowFormula>SUMIF(SUMMARY_TABLE[IN SCOPE],"YES",SUMMARY_TABLE[UNIT COST])</totalsRowFormula>
    </tableColumn>
    <tableColumn id="53" xr3:uid="{00000000-0010-0000-0000-000035000000}" name="EXTENDED COST" totalsRowFunction="custom" dataDxfId="139" totalsRowDxfId="1">
      <totalsRowFormula>SUMIF(SUMMARY_TABLE[IN SCOPE],"YES",SUMMARY_TABLE[EXTENDED COST])</totalsRowFormula>
    </tableColumn>
    <tableColumn id="54" xr3:uid="{00000000-0010-0000-0000-000036000000}" name="MARGIN" totalsRowFunction="custom" dataDxfId="138" totalsRowDxfId="0">
      <totalsRowFormula>1-(SUMMARY_TABLE[[#Totals],[UNIT COST]]/SUMMARY_TABLE[[#Totals],[SELL PRICE]])</totalsRowFormula>
    </tableColumn>
    <tableColumn id="55" xr3:uid="{00000000-0010-0000-0000-000037000000}" name="DATA44"/>
    <tableColumn id="56" xr3:uid="{00000000-0010-0000-0000-000038000000}" name="DATA45"/>
    <tableColumn id="57" xr3:uid="{00000000-0010-0000-0000-000039000000}" name="DATA46"/>
    <tableColumn id="58" xr3:uid="{00000000-0010-0000-0000-00003A000000}" name="DATA47"/>
    <tableColumn id="59" xr3:uid="{00000000-0010-0000-0000-00003B000000}" name="DATA48"/>
    <tableColumn id="60" xr3:uid="{00000000-0010-0000-0000-00003C000000}" name="DATA49"/>
    <tableColumn id="61" xr3:uid="{00000000-0010-0000-0000-00003D000000}" name="DATA50"/>
  </tableColumns>
  <tableStyleInfo name="TableStyleMedium9"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IMPACT_BOM_Table" displayName="IMPACT_BOM_Table" ref="A6:O115" totalsRowShown="0" headerRowDxfId="137" headerRowBorderDxfId="136" tableBorderDxfId="135" totalsRowBorderDxfId="134">
  <autoFilter ref="A6:O115" xr:uid="{00000000-0009-0000-0100-000004000000}"/>
  <tableColumns count="15">
    <tableColumn id="1" xr3:uid="{00000000-0010-0000-0100-000001000000}" name="REFERENCE_ID"/>
    <tableColumn id="5" xr3:uid="{00000000-0010-0000-0100-000005000000}" name="IN_SCOPE" dataDxfId="133"/>
    <tableColumn id="2" xr3:uid="{00000000-0010-0000-0100-000002000000}" name="PARENT"/>
    <tableColumn id="3" xr3:uid="{00000000-0010-0000-0100-000003000000}" name="SEQUENCE"/>
    <tableColumn id="4" xr3:uid="{00000000-0010-0000-0100-000004000000}" name="PARTNO"/>
    <tableColumn id="6" xr3:uid="{00000000-0010-0000-0100-000006000000}" name="Count" dataDxfId="132"/>
    <tableColumn id="7" xr3:uid="{00000000-0010-0000-0100-000007000000}" name="Level" dataDxfId="131"/>
    <tableColumn id="8" xr3:uid="{00000000-0010-0000-0100-000008000000}" name="Description" dataDxfId="130"/>
    <tableColumn id="9" xr3:uid="{00000000-0010-0000-0100-000009000000}" name="REVISION" dataDxfId="129"/>
    <tableColumn id="10" xr3:uid="{00000000-0010-0000-0100-00000A000000}" name="UNIT" dataDxfId="128"/>
    <tableColumn id="11" xr3:uid="{00000000-0010-0000-0100-00000B000000}" name="SOURCE" dataDxfId="127"/>
    <tableColumn id="12" xr3:uid="{00000000-0010-0000-0100-00000C000000}" name="CATEGORY" dataDxfId="126"/>
    <tableColumn id="13" xr3:uid="{00000000-0010-0000-0100-00000D000000}" name="LIST PRICE" dataDxfId="125"/>
    <tableColumn id="15" xr3:uid="{00000000-0010-0000-0100-00000F000000}" name="SELL PRICE" dataDxfId="124"/>
    <tableColumn id="14" xr3:uid="{00000000-0010-0000-0100-00000E000000}" name="COST" dataDxfId="1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MPACT_DATAMAP_Table" displayName="IMPACT_DATAMAP_Table" ref="A1:C60" totalsRowShown="0" headerRowDxfId="122" tableBorderDxfId="121">
  <autoFilter ref="A1:C60" xr:uid="{00000000-0009-0000-0100-000003000000}"/>
  <tableColumns count="3">
    <tableColumn id="2" xr3:uid="{00000000-0010-0000-0200-000002000000}" name="SUMMARY_TABLE_FIELDNAME" dataDxfId="120"/>
    <tableColumn id="4" xr3:uid="{00000000-0010-0000-0200-000004000000}" name="UTILITY_SOURCE_RANGENAME" dataDxfId="119"/>
    <tableColumn id="3" xr3:uid="{00000000-0010-0000-0200-000003000000}" name="FIELD_VALUE" dataDxfId="1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DEVICE_UTILITY_TABLE" displayName="DEVICE_UTILITY_TABLE" ref="A2:E71" totalsRowShown="0" headerRowDxfId="117" dataDxfId="115" headerRowBorderDxfId="116">
  <tableColumns count="5">
    <tableColumn id="2" xr3:uid="{00000000-0010-0000-0300-000002000000}" name="DEVICE DESCRIPTION" dataDxfId="114"/>
    <tableColumn id="1" xr3:uid="{00000000-0010-0000-0300-000001000000}" name="DEVICE TYPE" dataDxfId="113"/>
    <tableColumn id="3" xr3:uid="{00000000-0010-0000-0300-000003000000}" name="DEVICE PREVIEW PICTURE DESCRIPTIONS" dataDxfId="112"/>
    <tableColumn id="5" xr3:uid="{00000000-0010-0000-0300-000005000000}" name="DEVICE PREVIEW PICTURE FILENAMES" dataDxfId="111"/>
    <tableColumn id="4" xr3:uid="{00000000-0010-0000-0300-000004000000}" name="YOUTUBE VIDEO REFERENCES" dataDxfId="1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BASE_PARTS_TABLE" displayName="BASE_PARTS_TABLE" ref="A2:J849" totalsRowShown="0" headerRowDxfId="109" headerRowBorderDxfId="108" tableBorderDxfId="107" totalsRowBorderDxfId="106">
  <tableColumns count="10">
    <tableColumn id="1" xr3:uid="{00000000-0010-0000-0400-000001000000}" name="Base Part Number" dataDxfId="105"/>
    <tableColumn id="2" xr3:uid="{00000000-0010-0000-0400-000002000000}" name="Description" dataDxfId="104"/>
    <tableColumn id="10" xr3:uid="{00000000-0010-0000-0400-00000A000000}" name="Part Type" dataDxfId="103"/>
    <tableColumn id="3" xr3:uid="{00000000-0010-0000-0400-000003000000}" name="Rev" dataDxfId="102"/>
    <tableColumn id="4" xr3:uid="{00000000-0010-0000-0400-000004000000}" name="Finish" dataDxfId="101"/>
    <tableColumn id="5" xr3:uid="{00000000-0010-0000-0400-000005000000}" name="Source" dataDxfId="100"/>
    <tableColumn id="6" xr3:uid="{00000000-0010-0000-0400-000006000000}" name="Category" dataDxfId="99"/>
    <tableColumn id="7" xr3:uid="{00000000-0010-0000-0400-000007000000}" name="Cost" dataDxfId="98" dataCellStyle="Currency"/>
    <tableColumn id="8" xr3:uid="{00000000-0010-0000-0400-000008000000}" name="Margin" dataDxfId="97" dataCellStyle="Percent"/>
    <tableColumn id="9" xr3:uid="{00000000-0010-0000-0400-000009000000}" name="Sell Price" dataDxfId="9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MARGINS_TABLE" displayName="MARGINS_TABLE" ref="A2:C15" totalsRowShown="0" headerRowDxfId="95" headerRowBorderDxfId="94" tableBorderDxfId="93" totalsRowBorderDxfId="92">
  <tableColumns count="3">
    <tableColumn id="1" xr3:uid="{00000000-0010-0000-0500-000001000000}" name="Category" dataDxfId="91"/>
    <tableColumn id="2" xr3:uid="{00000000-0010-0000-0500-000002000000}" name="Margin" dataDxfId="90"/>
    <tableColumn id="3" xr3:uid="{00000000-0010-0000-0500-000003000000}" name="Comment" dataDxfId="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MATERIAL_TABLE" displayName="MATERIAL_TABLE" ref="A2:B52" totalsRowShown="0" headerRowDxfId="88" headerRowBorderDxfId="87" tableBorderDxfId="86" totalsRowBorderDxfId="85">
  <tableColumns count="2">
    <tableColumn id="1" xr3:uid="{00000000-0010-0000-0600-000001000000}" name="Material Type" dataDxfId="84"/>
    <tableColumn id="2" xr3:uid="{00000000-0010-0000-0600-000002000000}" name="Cost Per Sqft" dataDxfId="8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7000000}" name="FINISH_TABLE" displayName="FINISH_TABLE" ref="A2:C9" totalsRowShown="0" headerRowDxfId="82" headerRowBorderDxfId="81" tableBorderDxfId="80" totalsRowBorderDxfId="79">
  <tableColumns count="3">
    <tableColumn id="1" xr3:uid="{00000000-0010-0000-0700-000001000000}" name="Finish" dataDxfId="78"/>
    <tableColumn id="2" xr3:uid="{00000000-0010-0000-0700-000002000000}" name="Cost Per Sqft" dataDxfId="77"/>
    <tableColumn id="3" xr3:uid="{00000000-0010-0000-0700-000003000000}" name="Description" dataDxfId="7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PART_TYPE_TABLE" displayName="PART_TYPE_TABLE" ref="A2:B9" totalsRowShown="0" headerRowDxfId="75" headerRowBorderDxfId="74" tableBorderDxfId="73" totalsRowBorderDxfId="72">
  <tableColumns count="2">
    <tableColumn id="1" xr3:uid="{00000000-0010-0000-0800-000001000000}" name="Part Type" dataDxfId="71"/>
    <tableColumn id="2" xr3:uid="{00000000-0010-0000-0800-000002000000}" name="Description" dataDxfId="7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IMPACTDATA_TABLES" displayName="IMPACTDATA_TABLES" ref="A52:B58" totalsRowShown="0" headerRowDxfId="69" dataDxfId="68">
  <autoFilter ref="A52:B58" xr:uid="{00000000-0009-0000-0100-00000A000000}"/>
  <tableColumns count="2">
    <tableColumn id="1" xr3:uid="{00000000-0010-0000-0900-000001000000}" name="Table Worksheet" dataDxfId="67"/>
    <tableColumn id="2" xr3:uid="{00000000-0010-0000-0900-000002000000}" name="Table Name" dataDxfId="6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HANGELOG_IMPACT" displayName="CHANGELOG_IMPACT" ref="A12:D85" totalsRowShown="0" headerRowBorderDxfId="65" tableBorderDxfId="64">
  <autoFilter ref="A12:D85" xr:uid="{00000000-0009-0000-0100-00000D000000}"/>
  <tableColumns count="4">
    <tableColumn id="1" xr3:uid="{00000000-0010-0000-0A00-000001000000}" name="Revision Number" dataDxfId="63"/>
    <tableColumn id="2" xr3:uid="{00000000-0010-0000-0A00-000002000000}" name="Date" dataDxfId="62"/>
    <tableColumn id="3" xr3:uid="{00000000-0010-0000-0A00-000003000000}" name="UserID" dataDxfId="61"/>
    <tableColumn id="4" xr3:uid="{00000000-0010-0000-0A00-000004000000}" name="Description" dataDxfId="6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CHANGELOG_IMPACTDATA" displayName="CHANGELOG_IMPACTDATA" ref="A12:D14" totalsRowShown="0" headerRowBorderDxfId="59" tableBorderDxfId="58">
  <autoFilter ref="A12:D14" xr:uid="{00000000-0009-0000-0100-00000B000000}"/>
  <tableColumns count="4">
    <tableColumn id="1" xr3:uid="{00000000-0010-0000-0B00-000001000000}" name="Revision Number" dataDxfId="57"/>
    <tableColumn id="2" xr3:uid="{00000000-0010-0000-0B00-000002000000}" name="Date" dataDxfId="56"/>
    <tableColumn id="3" xr3:uid="{00000000-0010-0000-0B00-000003000000}" name="UserID"/>
    <tableColumn id="4" xr3:uid="{00000000-0010-0000-0B00-000004000000}" name="Descrip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glide-line.com/downloads/"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comments" Target="../comments2.xml"/><Relationship Id="rId2" Type="http://schemas.openxmlformats.org/officeDocument/2006/relationships/printerSettings" Target="../printerSettings/printerSettings6.bin"/><Relationship Id="rId1" Type="http://schemas.openxmlformats.org/officeDocument/2006/relationships/hyperlink" Target="https://remote.nccas.com/GlideInternal/Glide-Line" TargetMode="External"/><Relationship Id="rId6" Type="http://schemas.openxmlformats.org/officeDocument/2006/relationships/image" Target="../media/image2.emf"/><Relationship Id="rId11" Type="http://schemas.openxmlformats.org/officeDocument/2006/relationships/table" Target="../tables/table10.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11.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4"/>
    <pageSetUpPr autoPageBreaks="0" fitToPage="1"/>
  </sheetPr>
  <dimension ref="B1:BH25"/>
  <sheetViews>
    <sheetView showGridLines="0" showRowColHeaders="0" tabSelected="1" zoomScaleNormal="100" workbookViewId="0">
      <selection activeCell="E23" sqref="E23"/>
    </sheetView>
  </sheetViews>
  <sheetFormatPr defaultColWidth="9.1796875" defaultRowHeight="14.5"/>
  <cols>
    <col min="1" max="1" width="3" style="2" customWidth="1"/>
    <col min="2" max="2" width="14.1796875" style="23" customWidth="1"/>
    <col min="3" max="3" width="11.26953125" style="23" customWidth="1"/>
    <col min="4" max="4" width="23.26953125" style="23" customWidth="1"/>
    <col min="5" max="5" width="88.7265625" style="2" customWidth="1"/>
    <col min="6" max="6" width="48" style="1" customWidth="1"/>
    <col min="7" max="7" width="8" style="41" customWidth="1"/>
    <col min="8" max="8" width="16.453125" style="4" customWidth="1"/>
    <col min="9" max="9" width="16.453125" style="2" customWidth="1"/>
    <col min="10" max="10" width="50.7265625" style="2" hidden="1" customWidth="1"/>
    <col min="11" max="18" width="15.7265625" style="2" hidden="1" customWidth="1"/>
    <col min="19" max="19" width="15.7265625" style="7" hidden="1" customWidth="1"/>
    <col min="20" max="20" width="15.7265625" style="16" hidden="1" customWidth="1"/>
    <col min="21" max="49" width="15.7265625" style="2" hidden="1" customWidth="1"/>
    <col min="50" max="53" width="15.7265625" style="142" hidden="1" customWidth="1"/>
    <col min="54" max="59" width="15.7265625" style="2" hidden="1" customWidth="1"/>
    <col min="60" max="60" width="28.26953125" style="2" hidden="1" customWidth="1"/>
    <col min="61" max="16384" width="9.1796875" style="2"/>
  </cols>
  <sheetData>
    <row r="1" spans="2:60" ht="66.75" customHeight="1">
      <c r="D1" s="207" t="str">
        <f xml:space="preserve"> "GLIDE-LINE IMPACT"</f>
        <v>GLIDE-LINE IMPACT</v>
      </c>
      <c r="E1" s="207"/>
      <c r="F1" s="207"/>
      <c r="G1" s="207"/>
      <c r="H1" s="208" t="str">
        <f xml:space="preserve"> "IMPACT Version: " &amp;IMPACT_Version &amp; IF(BETA_FLAG=TRUE," (Beta)") &amp; CHAR(10) &amp; "IMPACTData Version: " &amp;IMPACTDATA_VERSION_CURRENT</f>
        <v>IMPACT Version: 2.0.0071 (Beta)
IMPACTData Version: 2.0.0023</v>
      </c>
      <c r="I1" s="208"/>
    </row>
    <row r="2" spans="2:60" ht="54.75" customHeight="1">
      <c r="B2" s="209" t="s">
        <v>81</v>
      </c>
      <c r="C2" s="209"/>
      <c r="D2" s="209"/>
      <c r="E2" s="209"/>
      <c r="F2" s="209"/>
      <c r="G2" s="209"/>
      <c r="H2" s="209"/>
      <c r="I2" s="209"/>
    </row>
    <row r="3" spans="2:60">
      <c r="B3" s="23" t="s">
        <v>93</v>
      </c>
      <c r="C3" s="39" t="s">
        <v>16</v>
      </c>
      <c r="D3" s="23" t="s">
        <v>107</v>
      </c>
      <c r="E3" s="40" t="s">
        <v>127</v>
      </c>
      <c r="F3" s="40" t="s">
        <v>0</v>
      </c>
      <c r="G3" s="41" t="s">
        <v>3</v>
      </c>
      <c r="H3" s="4" t="s">
        <v>2</v>
      </c>
      <c r="I3" s="42" t="s">
        <v>1</v>
      </c>
      <c r="J3" s="43" t="s">
        <v>108</v>
      </c>
      <c r="K3" s="43" t="s">
        <v>31</v>
      </c>
      <c r="L3" s="43" t="s">
        <v>32</v>
      </c>
      <c r="M3" s="43" t="s">
        <v>33</v>
      </c>
      <c r="N3" s="43" t="s">
        <v>34</v>
      </c>
      <c r="O3" s="43" t="s">
        <v>35</v>
      </c>
      <c r="P3" s="43" t="s">
        <v>36</v>
      </c>
      <c r="Q3" s="43" t="s">
        <v>37</v>
      </c>
      <c r="R3" s="43" t="s">
        <v>38</v>
      </c>
      <c r="S3" s="43" t="s">
        <v>39</v>
      </c>
      <c r="T3" s="43" t="s">
        <v>40</v>
      </c>
      <c r="U3" s="43" t="s">
        <v>41</v>
      </c>
      <c r="V3" s="43" t="s">
        <v>42</v>
      </c>
      <c r="W3" s="43" t="s">
        <v>43</v>
      </c>
      <c r="X3" s="43" t="s">
        <v>44</v>
      </c>
      <c r="Y3" s="43" t="s">
        <v>45</v>
      </c>
      <c r="Z3" s="43" t="s">
        <v>46</v>
      </c>
      <c r="AA3" s="43" t="s">
        <v>47</v>
      </c>
      <c r="AB3" s="43" t="s">
        <v>48</v>
      </c>
      <c r="AC3" s="43" t="s">
        <v>49</v>
      </c>
      <c r="AD3" s="43" t="s">
        <v>50</v>
      </c>
      <c r="AE3" s="43" t="s">
        <v>51</v>
      </c>
      <c r="AF3" s="43" t="s">
        <v>52</v>
      </c>
      <c r="AG3" s="43" t="s">
        <v>53</v>
      </c>
      <c r="AH3" s="43" t="s">
        <v>54</v>
      </c>
      <c r="AI3" s="43" t="s">
        <v>55</v>
      </c>
      <c r="AJ3" s="43" t="s">
        <v>56</v>
      </c>
      <c r="AK3" s="43" t="s">
        <v>57</v>
      </c>
      <c r="AL3" s="43" t="s">
        <v>58</v>
      </c>
      <c r="AM3" s="43" t="s">
        <v>59</v>
      </c>
      <c r="AN3" s="43" t="s">
        <v>60</v>
      </c>
      <c r="AO3" s="43" t="s">
        <v>61</v>
      </c>
      <c r="AP3" s="43" t="s">
        <v>62</v>
      </c>
      <c r="AQ3" s="43" t="s">
        <v>63</v>
      </c>
      <c r="AR3" s="43" t="s">
        <v>64</v>
      </c>
      <c r="AS3" s="43" t="s">
        <v>65</v>
      </c>
      <c r="AT3" s="43" t="s">
        <v>66</v>
      </c>
      <c r="AU3" s="43" t="s">
        <v>67</v>
      </c>
      <c r="AV3" s="43" t="s">
        <v>68</v>
      </c>
      <c r="AW3" s="43" t="s">
        <v>69</v>
      </c>
      <c r="AX3" s="31" t="s">
        <v>277</v>
      </c>
      <c r="AY3" s="31" t="s">
        <v>138</v>
      </c>
      <c r="AZ3" s="31" t="s">
        <v>139</v>
      </c>
      <c r="BA3" s="31" t="s">
        <v>140</v>
      </c>
      <c r="BB3" s="43" t="s">
        <v>74</v>
      </c>
      <c r="BC3" s="43" t="s">
        <v>75</v>
      </c>
      <c r="BD3" s="43" t="s">
        <v>76</v>
      </c>
      <c r="BE3" s="43" t="s">
        <v>77</v>
      </c>
      <c r="BF3" s="43" t="s">
        <v>78</v>
      </c>
      <c r="BG3" s="43" t="s">
        <v>79</v>
      </c>
      <c r="BH3" s="43" t="s">
        <v>80</v>
      </c>
    </row>
    <row r="4" spans="2:60">
      <c r="B4" s="40" t="s">
        <v>2220</v>
      </c>
      <c r="C4" s="1" t="s">
        <v>1625</v>
      </c>
      <c r="D4" s="40" t="s">
        <v>2221</v>
      </c>
      <c r="E4" s="2" t="s">
        <v>2211</v>
      </c>
      <c r="F4" s="2" t="s">
        <v>2212</v>
      </c>
      <c r="G4" s="203">
        <v>1</v>
      </c>
      <c r="H4" s="204">
        <f>ROUND(SUMIF(IMPACT_BOM_Table[REFERENCE_ID],SUMMARY_TABLE[[#This Row],[REFERENCE ID]],IMPACT_BOM_Table[LIST PRICE]),2)</f>
        <v>2740.99</v>
      </c>
      <c r="I4" s="148">
        <f>SUMMARY_TABLE[[#This Row],[QTY]]*SUMMARY_TABLE[[#This Row],[LIST PRICE]]</f>
        <v>2740.99</v>
      </c>
      <c r="J4" s="149"/>
      <c r="K4" s="149">
        <v>2</v>
      </c>
      <c r="L4" s="149" t="s">
        <v>2207</v>
      </c>
      <c r="M4" s="149">
        <v>240</v>
      </c>
      <c r="N4" s="149">
        <v>2000</v>
      </c>
      <c r="O4" s="149">
        <v>500</v>
      </c>
      <c r="P4" s="149" t="s">
        <v>2063</v>
      </c>
      <c r="Q4" s="149" t="s">
        <v>2213</v>
      </c>
      <c r="R4" s="149">
        <v>1</v>
      </c>
      <c r="S4" s="149" t="s">
        <v>2208</v>
      </c>
      <c r="T4" s="149">
        <v>40</v>
      </c>
      <c r="U4" s="149">
        <v>270</v>
      </c>
      <c r="V4" s="149" t="s">
        <v>2214</v>
      </c>
      <c r="W4" s="149"/>
      <c r="X4" s="149">
        <v>0.25</v>
      </c>
      <c r="Y4" s="149">
        <v>1750</v>
      </c>
      <c r="Z4" s="149">
        <v>75</v>
      </c>
      <c r="AA4" s="149">
        <v>1</v>
      </c>
      <c r="AB4" s="149">
        <v>1</v>
      </c>
      <c r="AC4" s="149" t="s">
        <v>2209</v>
      </c>
      <c r="AD4" s="149" t="s">
        <v>2210</v>
      </c>
      <c r="AE4" s="149" t="s">
        <v>2210</v>
      </c>
      <c r="AF4" s="149" t="s">
        <v>2215</v>
      </c>
      <c r="AG4" s="149" t="s">
        <v>2216</v>
      </c>
      <c r="AH4" s="149"/>
      <c r="AI4" s="149"/>
      <c r="AJ4" s="149">
        <v>8.75</v>
      </c>
      <c r="AK4" s="149">
        <v>28.71</v>
      </c>
      <c r="AL4" s="149"/>
      <c r="AM4" s="149"/>
      <c r="AN4" s="149"/>
      <c r="AO4" s="149"/>
      <c r="AP4" s="149"/>
      <c r="AQ4" s="149"/>
      <c r="AR4" s="149"/>
      <c r="AS4" s="149"/>
      <c r="AT4" s="149"/>
      <c r="AU4" s="149"/>
      <c r="AV4" s="149"/>
      <c r="AW4" s="149"/>
      <c r="AX4" s="143"/>
      <c r="AY4" s="143"/>
      <c r="AZ4" s="143"/>
      <c r="BA4" s="144"/>
      <c r="BB4" s="43"/>
      <c r="BC4" s="43"/>
      <c r="BD4" s="43"/>
      <c r="BE4" s="43"/>
      <c r="BF4" s="43"/>
      <c r="BG4" s="43"/>
      <c r="BH4" s="43" t="s">
        <v>2220</v>
      </c>
    </row>
    <row r="5" spans="2:60">
      <c r="B5" s="40" t="s">
        <v>2272</v>
      </c>
      <c r="C5" s="1" t="s">
        <v>1625</v>
      </c>
      <c r="D5" s="40" t="s">
        <v>2273</v>
      </c>
      <c r="E5" s="2" t="s">
        <v>2211</v>
      </c>
      <c r="F5" s="2" t="s">
        <v>2212</v>
      </c>
      <c r="G5" s="203">
        <v>1</v>
      </c>
      <c r="H5" s="204">
        <f>ROUND(SUMIF(IMPACT_BOM_Table[REFERENCE_ID],SUMMARY_TABLE[[#This Row],[REFERENCE ID]],IMPACT_BOM_Table[LIST PRICE]),2)</f>
        <v>2740.99</v>
      </c>
      <c r="I5" s="148">
        <f>SUMMARY_TABLE[[#This Row],[QTY]]*SUMMARY_TABLE[[#This Row],[LIST PRICE]]</f>
        <v>2740.99</v>
      </c>
      <c r="J5" s="149"/>
      <c r="K5" s="149">
        <v>2</v>
      </c>
      <c r="L5" s="149" t="s">
        <v>2207</v>
      </c>
      <c r="M5" s="149">
        <v>240</v>
      </c>
      <c r="N5" s="149">
        <v>2000</v>
      </c>
      <c r="O5" s="149">
        <v>500</v>
      </c>
      <c r="P5" s="149" t="s">
        <v>2063</v>
      </c>
      <c r="Q5" s="149" t="s">
        <v>2213</v>
      </c>
      <c r="R5" s="149">
        <v>1</v>
      </c>
      <c r="S5" s="149" t="s">
        <v>2208</v>
      </c>
      <c r="T5" s="149">
        <v>40</v>
      </c>
      <c r="U5" s="149">
        <v>270</v>
      </c>
      <c r="V5" s="149" t="s">
        <v>2214</v>
      </c>
      <c r="W5" s="149"/>
      <c r="X5" s="149">
        <v>0.25</v>
      </c>
      <c r="Y5" s="149">
        <v>1750</v>
      </c>
      <c r="Z5" s="149">
        <v>75</v>
      </c>
      <c r="AA5" s="149">
        <v>1</v>
      </c>
      <c r="AB5" s="149">
        <v>1</v>
      </c>
      <c r="AC5" s="149" t="s">
        <v>2209</v>
      </c>
      <c r="AD5" s="149" t="s">
        <v>2210</v>
      </c>
      <c r="AE5" s="149" t="s">
        <v>2210</v>
      </c>
      <c r="AF5" s="149" t="s">
        <v>2215</v>
      </c>
      <c r="AG5" s="149" t="s">
        <v>2216</v>
      </c>
      <c r="AH5" s="149"/>
      <c r="AI5" s="149"/>
      <c r="AJ5" s="149">
        <v>8.75</v>
      </c>
      <c r="AK5" s="149">
        <v>28.71</v>
      </c>
      <c r="AL5" s="149"/>
      <c r="AM5" s="149"/>
      <c r="AN5" s="149"/>
      <c r="AO5" s="149"/>
      <c r="AP5" s="149"/>
      <c r="AQ5" s="149"/>
      <c r="AR5" s="149"/>
      <c r="AS5" s="149"/>
      <c r="AT5" s="149"/>
      <c r="AU5" s="149"/>
      <c r="AV5" s="149"/>
      <c r="AW5" s="149"/>
      <c r="AX5" s="143"/>
      <c r="AY5" s="143"/>
      <c r="AZ5" s="143"/>
      <c r="BA5" s="144"/>
      <c r="BB5" s="43"/>
      <c r="BC5" s="43"/>
      <c r="BD5" s="43"/>
      <c r="BE5" s="43"/>
      <c r="BF5" s="43"/>
      <c r="BG5" s="43"/>
      <c r="BH5" s="43" t="s">
        <v>2272</v>
      </c>
    </row>
    <row r="6" spans="2:60">
      <c r="B6" s="40" t="s">
        <v>2268</v>
      </c>
      <c r="C6" s="1" t="s">
        <v>1625</v>
      </c>
      <c r="D6" s="40" t="s">
        <v>2269</v>
      </c>
      <c r="E6" s="2" t="s">
        <v>2270</v>
      </c>
      <c r="F6" s="2" t="s">
        <v>1436</v>
      </c>
      <c r="G6" s="203">
        <v>1</v>
      </c>
      <c r="H6" s="204">
        <f>ROUND(SUMIF(IMPACT_BOM_Table[REFERENCE_ID],SUMMARY_TABLE[[#This Row],[REFERENCE ID]],IMPACT_BOM_Table[LIST PRICE]),2)</f>
        <v>1571.26</v>
      </c>
      <c r="I6" s="148">
        <f>SUMMARY_TABLE[[#This Row],[QTY]]*SUMMARY_TABLE[[#This Row],[LIST PRICE]]</f>
        <v>1571.26</v>
      </c>
      <c r="J6" s="149"/>
      <c r="K6" s="149" t="s">
        <v>2271</v>
      </c>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3"/>
      <c r="AY6" s="143"/>
      <c r="AZ6" s="143"/>
      <c r="BA6" s="144"/>
      <c r="BB6" s="43"/>
      <c r="BC6" s="43"/>
      <c r="BD6" s="43"/>
      <c r="BE6" s="43"/>
      <c r="BF6" s="43"/>
      <c r="BG6" s="43"/>
      <c r="BH6" s="43" t="s">
        <v>2268</v>
      </c>
    </row>
    <row r="7" spans="2:60">
      <c r="B7" s="242" t="s">
        <v>2275</v>
      </c>
      <c r="C7" s="243" t="s">
        <v>1625</v>
      </c>
      <c r="D7" s="242" t="s">
        <v>2276</v>
      </c>
      <c r="E7" s="244" t="s">
        <v>2277</v>
      </c>
      <c r="F7" s="244" t="s">
        <v>2278</v>
      </c>
      <c r="G7" s="203">
        <v>1</v>
      </c>
      <c r="H7" s="204" t="e">
        <f>ROUND(SUMIF(IMPACT_BOM_Table[REFERENCE_ID],SUMMARY_TABLE[[#This Row],[REFERENCE ID]],IMPACT_BOM_Table[LIST PRICE]),2)</f>
        <v>#N/A</v>
      </c>
      <c r="I7" s="148" t="e">
        <f>SUMMARY_TABLE[[#This Row],[QTY]]*SUMMARY_TABLE[[#This Row],[LIST PRICE]]</f>
        <v>#N/A</v>
      </c>
      <c r="J7" s="149"/>
      <c r="K7" s="149">
        <v>240</v>
      </c>
      <c r="L7" s="149">
        <v>240</v>
      </c>
      <c r="M7" s="149" t="s">
        <v>2279</v>
      </c>
      <c r="N7" s="149" t="s">
        <v>2280</v>
      </c>
      <c r="O7" s="149" t="s">
        <v>360</v>
      </c>
      <c r="P7" s="149"/>
      <c r="Q7" s="149"/>
      <c r="R7" s="149"/>
      <c r="S7" s="149"/>
      <c r="T7" s="149"/>
      <c r="U7" s="149"/>
      <c r="V7" s="149"/>
      <c r="W7" s="149"/>
      <c r="X7" s="149"/>
      <c r="Y7" s="149"/>
      <c r="Z7" s="149"/>
      <c r="AA7" s="149"/>
      <c r="AB7" s="149"/>
      <c r="AC7" s="149"/>
      <c r="AD7" s="149"/>
      <c r="AE7" s="149"/>
      <c r="AF7" s="149"/>
      <c r="AG7" s="149"/>
      <c r="AH7" s="149"/>
      <c r="AI7" s="149"/>
      <c r="AJ7" s="149"/>
      <c r="AK7" s="149"/>
      <c r="AL7" s="149"/>
      <c r="AM7" s="149"/>
      <c r="AN7" s="149"/>
      <c r="AO7" s="149"/>
      <c r="AP7" s="149"/>
      <c r="AQ7" s="149"/>
      <c r="AR7" s="149"/>
      <c r="AS7" s="149"/>
      <c r="AT7" s="149"/>
      <c r="AU7" s="149"/>
      <c r="AV7" s="149"/>
      <c r="AW7" s="149"/>
      <c r="AX7" s="143">
        <v>160.56</v>
      </c>
      <c r="AY7" s="143">
        <v>106.81</v>
      </c>
      <c r="AZ7" s="143">
        <v>427.24</v>
      </c>
      <c r="BA7" s="144">
        <v>0.33476581963129048</v>
      </c>
      <c r="BB7" s="43"/>
      <c r="BC7" s="43"/>
      <c r="BD7" s="43"/>
      <c r="BE7" s="43"/>
      <c r="BF7" s="43"/>
      <c r="BG7" s="43"/>
      <c r="BH7" s="43" t="s">
        <v>2275</v>
      </c>
    </row>
    <row r="8" spans="2:60">
      <c r="B8" s="40"/>
      <c r="C8" s="1"/>
      <c r="D8" s="40"/>
      <c r="F8" s="2"/>
      <c r="G8" s="206">
        <f>SUBTOTAL(109,SUMMARY_TABLE[QTY])</f>
        <v>4</v>
      </c>
      <c r="H8" s="4" t="s">
        <v>4</v>
      </c>
      <c r="I8" s="4" t="e">
        <f>SUMIF(SUMMARY_TABLE[IN SCOPE],"YES",SUMMARY_TABLE[EXTENDED])</f>
        <v>#N/A</v>
      </c>
      <c r="J8" s="25"/>
      <c r="K8" s="25"/>
      <c r="L8" s="25"/>
      <c r="M8" s="25"/>
      <c r="N8" s="25"/>
      <c r="O8" s="25"/>
      <c r="P8" s="25"/>
      <c r="Q8" s="25"/>
      <c r="R8" s="25"/>
      <c r="S8" s="25"/>
      <c r="T8" s="25">
        <f>SUBTOTAL(109,SUMMARY_TABLE[DATA10])</f>
        <v>80</v>
      </c>
      <c r="U8" s="25">
        <f>SUBTOTAL(109,SUMMARY_TABLE[DATA11])</f>
        <v>540</v>
      </c>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143">
        <f>SUMIF(SUMMARY_TABLE[IN SCOPE],"YES",SUMMARY_TABLE[SELL PRICE])</f>
        <v>160.56</v>
      </c>
      <c r="AY8" s="143">
        <f>SUMIF(SUMMARY_TABLE[IN SCOPE],"YES",SUMMARY_TABLE[UNIT COST])</f>
        <v>106.81</v>
      </c>
      <c r="AZ8" s="143">
        <f>SUMIF(SUMMARY_TABLE[IN SCOPE],"YES",SUMMARY_TABLE[EXTENDED COST])</f>
        <v>427.24</v>
      </c>
      <c r="BA8" s="144">
        <f>1-(SUMMARY_TABLE[[#Totals],[UNIT COST]]/SUMMARY_TABLE[[#Totals],[SELL PRICE]])</f>
        <v>0.33476581963129048</v>
      </c>
      <c r="BB8"/>
      <c r="BC8"/>
      <c r="BD8"/>
      <c r="BE8"/>
      <c r="BF8"/>
      <c r="BG8"/>
      <c r="BH8"/>
    </row>
    <row r="9" spans="2:60">
      <c r="B9" s="2"/>
      <c r="C9" s="2"/>
      <c r="D9" s="2"/>
      <c r="E9" s="22"/>
      <c r="F9" s="44"/>
      <c r="G9" s="45"/>
      <c r="H9" s="126" t="s">
        <v>282</v>
      </c>
      <c r="I9" s="123">
        <v>0</v>
      </c>
    </row>
    <row r="10" spans="2:60">
      <c r="B10" s="2"/>
      <c r="C10" s="2"/>
      <c r="D10" s="2"/>
      <c r="E10" s="22"/>
      <c r="F10" s="44"/>
      <c r="G10" s="45"/>
      <c r="H10" s="124" t="s">
        <v>4</v>
      </c>
      <c r="I10" s="125" t="e">
        <f>ROUND(SUMMARY_TABLE[[#Totals],[EXTENDED]]*(1-I9),2)</f>
        <v>#N/A</v>
      </c>
    </row>
    <row r="11" spans="2:60">
      <c r="B11" s="2"/>
      <c r="C11" s="2"/>
      <c r="D11" s="2"/>
      <c r="E11" s="22"/>
      <c r="F11" s="44"/>
      <c r="G11" s="45"/>
      <c r="H11" s="22"/>
    </row>
    <row r="12" spans="2:60">
      <c r="B12" s="210" t="s">
        <v>84</v>
      </c>
      <c r="C12" s="210"/>
      <c r="D12" s="210"/>
      <c r="E12" s="210"/>
      <c r="F12" s="210"/>
      <c r="G12" s="210"/>
      <c r="H12" s="210"/>
      <c r="I12" s="210"/>
    </row>
    <row r="13" spans="2:60">
      <c r="B13" s="46" t="s">
        <v>87</v>
      </c>
      <c r="C13" s="46"/>
      <c r="D13" s="46"/>
      <c r="E13" s="46"/>
    </row>
    <row r="14" spans="2:60">
      <c r="B14" s="46" t="s">
        <v>131</v>
      </c>
      <c r="C14" s="46"/>
      <c r="D14" s="46"/>
      <c r="E14" s="46"/>
      <c r="I14"/>
    </row>
    <row r="15" spans="2:60">
      <c r="B15" s="47" t="s">
        <v>133</v>
      </c>
      <c r="C15" s="46" t="s">
        <v>130</v>
      </c>
      <c r="D15" s="46"/>
      <c r="E15" s="46"/>
    </row>
    <row r="16" spans="2:60">
      <c r="B16" s="48" t="s">
        <v>82</v>
      </c>
      <c r="C16" s="24" t="s">
        <v>132</v>
      </c>
      <c r="D16" s="24"/>
    </row>
    <row r="17" spans="2:5">
      <c r="B17" s="49" t="s">
        <v>134</v>
      </c>
      <c r="C17" s="24" t="s">
        <v>135</v>
      </c>
      <c r="D17" s="24"/>
    </row>
    <row r="18" spans="2:5">
      <c r="B18" s="24" t="s">
        <v>83</v>
      </c>
      <c r="C18" s="24"/>
      <c r="D18" s="24"/>
    </row>
    <row r="19" spans="2:5">
      <c r="B19" s="211" t="s">
        <v>85</v>
      </c>
      <c r="C19" s="211"/>
      <c r="D19" s="211"/>
      <c r="E19" s="211"/>
    </row>
    <row r="20" spans="2:5">
      <c r="B20" s="50" t="s">
        <v>10</v>
      </c>
      <c r="C20" s="51"/>
      <c r="D20" s="51"/>
    </row>
    <row r="21" spans="2:5">
      <c r="B21" s="162"/>
      <c r="C21" s="24"/>
    </row>
    <row r="22" spans="2:5">
      <c r="B22" s="182" t="s">
        <v>1512</v>
      </c>
      <c r="C22" s="184" t="s">
        <v>1868</v>
      </c>
      <c r="D22" s="183"/>
      <c r="E22" s="3"/>
    </row>
    <row r="23" spans="2:5">
      <c r="B23" s="182" t="s">
        <v>1771</v>
      </c>
      <c r="C23" s="184" t="s">
        <v>1869</v>
      </c>
      <c r="D23" s="183"/>
    </row>
    <row r="24" spans="2:5">
      <c r="B24" s="22"/>
    </row>
    <row r="25" spans="2:5">
      <c r="B25" s="24"/>
    </row>
  </sheetData>
  <sheetProtection algorithmName="SHA-512" hashValue="/vUDbvMvtC8qpZTTPax8AWIwTaFQZQRbpmEP+qShYvDVCoeiel/3nlHLCUpN/Gs7B0+E1PiZVKxEGsFMdwvTng==" saltValue="LF5QenCZIpbnA2dEbI2iMA==" spinCount="100000" sheet="1" objects="1" scenarios="1"/>
  <mergeCells count="5">
    <mergeCell ref="D1:G1"/>
    <mergeCell ref="H1:I1"/>
    <mergeCell ref="B2:I2"/>
    <mergeCell ref="B12:I12"/>
    <mergeCell ref="B19:E19"/>
  </mergeCells>
  <conditionalFormatting sqref="B4:BH7">
    <cfRule type="expression" dxfId="55" priority="1" stopIfTrue="1">
      <formula>$C4="NO"</formula>
    </cfRule>
  </conditionalFormatting>
  <conditionalFormatting sqref="B4:B7">
    <cfRule type="expression" dxfId="54" priority="2" stopIfTrue="1">
      <formula>$J4&lt;&gt;""</formula>
    </cfRule>
    <cfRule type="expression" dxfId="53" priority="3">
      <formula>AND($B4=$BH4,ISBLANK($B4)=FALSE)</formula>
    </cfRule>
  </conditionalFormatting>
  <hyperlinks>
    <hyperlink ref="B20" r:id="rId1" xr:uid="{00000000-0004-0000-0000-000000000000}"/>
  </hyperlinks>
  <pageMargins left="0.7" right="0.7" top="0.75" bottom="0.75" header="0.3" footer="0.3"/>
  <pageSetup scale="63" orientation="landscape" r:id="rId2"/>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00B050"/>
    <pageSetUpPr autoPageBreaks="0" fitToPage="1"/>
  </sheetPr>
  <dimension ref="A1:O115"/>
  <sheetViews>
    <sheetView workbookViewId="0">
      <selection activeCell="D52" sqref="D52"/>
    </sheetView>
  </sheetViews>
  <sheetFormatPr defaultColWidth="9.1796875" defaultRowHeight="13.5" customHeight="1"/>
  <cols>
    <col min="1" max="1" width="17.453125" style="6" customWidth="1"/>
    <col min="2" max="2" width="19" style="6" customWidth="1"/>
    <col min="3" max="3" width="25.7265625" style="6" customWidth="1"/>
    <col min="4" max="5" width="19.7265625" style="6" customWidth="1"/>
    <col min="6" max="7" width="19.7265625" style="5" customWidth="1"/>
    <col min="8" max="12" width="19.7265625" style="6" customWidth="1"/>
    <col min="13" max="14" width="12.7265625" style="6" customWidth="1"/>
    <col min="15" max="15" width="12" style="6" customWidth="1"/>
    <col min="16" max="16384" width="9.1796875" style="6"/>
  </cols>
  <sheetData>
    <row r="1" spans="1:15" ht="26">
      <c r="A1" s="213" t="s">
        <v>30</v>
      </c>
      <c r="B1" s="214"/>
      <c r="C1" s="214"/>
      <c r="D1" s="214"/>
      <c r="E1" s="214"/>
      <c r="F1" s="214"/>
      <c r="G1" s="214"/>
      <c r="H1" s="214"/>
      <c r="I1" s="214"/>
      <c r="J1" s="214"/>
      <c r="K1" s="214"/>
      <c r="L1" s="214"/>
      <c r="M1" s="214"/>
      <c r="N1" s="214"/>
      <c r="O1" s="214"/>
    </row>
    <row r="2" spans="1:15" ht="18.5">
      <c r="A2" s="215" t="s">
        <v>92</v>
      </c>
      <c r="B2" s="216"/>
      <c r="C2" s="216"/>
      <c r="D2" s="216"/>
      <c r="E2" s="216"/>
      <c r="F2" s="216"/>
      <c r="G2" s="216"/>
      <c r="H2" s="216"/>
      <c r="I2" s="216"/>
      <c r="J2" s="216"/>
      <c r="K2" s="216"/>
      <c r="L2" s="216"/>
      <c r="M2" s="216"/>
      <c r="N2" s="216"/>
      <c r="O2" s="216"/>
    </row>
    <row r="3" spans="1:15" customFormat="1" ht="14.5">
      <c r="A3" s="119">
        <v>1</v>
      </c>
      <c r="B3" s="119">
        <v>2</v>
      </c>
      <c r="C3" s="119">
        <v>3</v>
      </c>
      <c r="D3" s="119">
        <v>4</v>
      </c>
      <c r="E3" s="119">
        <v>5</v>
      </c>
      <c r="F3" s="119">
        <v>6</v>
      </c>
      <c r="G3" s="119">
        <v>7</v>
      </c>
      <c r="H3" s="119">
        <v>8</v>
      </c>
      <c r="I3" s="119">
        <v>9</v>
      </c>
      <c r="J3" s="119">
        <v>10</v>
      </c>
      <c r="K3" s="119">
        <v>11</v>
      </c>
      <c r="L3" s="119">
        <v>12</v>
      </c>
      <c r="M3" s="119">
        <v>13</v>
      </c>
      <c r="N3" s="119">
        <v>14</v>
      </c>
      <c r="O3" s="119">
        <v>15</v>
      </c>
    </row>
    <row r="4" spans="1:15" ht="24.5" thickBot="1">
      <c r="A4"/>
      <c r="B4" s="116" t="s">
        <v>276</v>
      </c>
      <c r="C4" s="117" t="s">
        <v>256</v>
      </c>
      <c r="D4" s="117" t="s">
        <v>255</v>
      </c>
      <c r="E4" s="117" t="s">
        <v>254</v>
      </c>
      <c r="F4" s="118" t="s">
        <v>253</v>
      </c>
      <c r="G4" s="117" t="s">
        <v>273</v>
      </c>
      <c r="H4" s="117" t="s">
        <v>251</v>
      </c>
      <c r="I4" s="117" t="s">
        <v>250</v>
      </c>
      <c r="J4" s="117" t="s">
        <v>249</v>
      </c>
      <c r="K4" s="117" t="s">
        <v>274</v>
      </c>
      <c r="L4" s="117" t="s">
        <v>275</v>
      </c>
    </row>
    <row r="5" spans="1:15" ht="15.5">
      <c r="A5"/>
      <c r="B5"/>
      <c r="C5" s="212" t="s">
        <v>121</v>
      </c>
      <c r="D5" s="212"/>
      <c r="E5" s="212"/>
      <c r="F5" s="212"/>
      <c r="G5" s="212"/>
      <c r="H5" s="212"/>
      <c r="I5" s="212"/>
      <c r="J5" s="212"/>
      <c r="K5" s="212"/>
      <c r="L5" s="212"/>
    </row>
    <row r="6" spans="1:15" ht="13.5" customHeight="1">
      <c r="A6" s="13" t="s">
        <v>15</v>
      </c>
      <c r="B6" s="13" t="s">
        <v>20</v>
      </c>
      <c r="C6" s="21" t="s">
        <v>118</v>
      </c>
      <c r="D6" s="13" t="s">
        <v>119</v>
      </c>
      <c r="E6" s="13" t="s">
        <v>120</v>
      </c>
      <c r="F6" s="20" t="s">
        <v>112</v>
      </c>
      <c r="G6" s="13" t="s">
        <v>113</v>
      </c>
      <c r="H6" s="13" t="s">
        <v>25</v>
      </c>
      <c r="I6" s="13" t="s">
        <v>114</v>
      </c>
      <c r="J6" s="13" t="s">
        <v>115</v>
      </c>
      <c r="K6" s="13" t="s">
        <v>116</v>
      </c>
      <c r="L6" s="13" t="s">
        <v>117</v>
      </c>
      <c r="M6" s="13" t="s">
        <v>2</v>
      </c>
      <c r="N6" s="13" t="s">
        <v>277</v>
      </c>
      <c r="O6" s="52" t="s">
        <v>137</v>
      </c>
    </row>
    <row r="7" spans="1:15" ht="13.5" customHeight="1">
      <c r="A7" s="10" t="s">
        <v>2220</v>
      </c>
      <c r="B7" s="201" t="s">
        <v>1625</v>
      </c>
      <c r="C7" s="11" t="s">
        <v>2222</v>
      </c>
      <c r="D7" s="11" t="s">
        <v>574</v>
      </c>
      <c r="E7" s="12">
        <v>4</v>
      </c>
      <c r="F7" s="6">
        <v>0</v>
      </c>
      <c r="G7" s="5">
        <v>0</v>
      </c>
      <c r="H7" s="5">
        <v>0</v>
      </c>
      <c r="I7" s="6">
        <v>0</v>
      </c>
      <c r="J7" s="6">
        <v>0</v>
      </c>
      <c r="K7" s="6">
        <v>0</v>
      </c>
      <c r="L7" s="6">
        <v>0</v>
      </c>
      <c r="M7" s="6">
        <v>59.428571428571438</v>
      </c>
      <c r="N7" s="200" t="e">
        <v>#N/A</v>
      </c>
      <c r="O7" s="200" t="e">
        <v>#N/A</v>
      </c>
    </row>
    <row r="8" spans="1:15" ht="13.5" customHeight="1">
      <c r="A8" s="6" t="s">
        <v>2220</v>
      </c>
      <c r="B8" s="202" t="s">
        <v>1625</v>
      </c>
      <c r="C8" s="6" t="s">
        <v>2223</v>
      </c>
      <c r="D8" s="6" t="s">
        <v>578</v>
      </c>
      <c r="E8" s="6">
        <v>4</v>
      </c>
      <c r="F8" s="6">
        <v>0</v>
      </c>
      <c r="G8" s="5">
        <v>0</v>
      </c>
      <c r="H8" s="5">
        <v>0</v>
      </c>
      <c r="I8" s="6">
        <v>0</v>
      </c>
      <c r="J8" s="6">
        <v>0</v>
      </c>
      <c r="K8" s="6">
        <v>0</v>
      </c>
      <c r="L8" s="6">
        <v>0</v>
      </c>
      <c r="M8" s="6">
        <v>57.142857142857146</v>
      </c>
      <c r="N8" s="6" t="e">
        <v>#N/A</v>
      </c>
      <c r="O8" s="6" t="e">
        <v>#N/A</v>
      </c>
    </row>
    <row r="9" spans="1:15" ht="13.5" customHeight="1">
      <c r="A9" s="6" t="s">
        <v>2220</v>
      </c>
      <c r="B9" s="202" t="s">
        <v>1625</v>
      </c>
      <c r="C9" s="6" t="s">
        <v>2224</v>
      </c>
      <c r="D9" s="6" t="s">
        <v>565</v>
      </c>
      <c r="E9" s="6">
        <v>4</v>
      </c>
      <c r="F9" s="6">
        <v>0</v>
      </c>
      <c r="G9" s="5">
        <v>0</v>
      </c>
      <c r="H9" s="5">
        <v>0</v>
      </c>
      <c r="I9" s="6">
        <v>0</v>
      </c>
      <c r="J9" s="6">
        <v>0</v>
      </c>
      <c r="K9" s="6">
        <v>0</v>
      </c>
      <c r="L9" s="6">
        <v>0</v>
      </c>
      <c r="M9" s="6">
        <v>20.571428571428573</v>
      </c>
      <c r="N9" s="6" t="e">
        <v>#N/A</v>
      </c>
      <c r="O9" s="6" t="e">
        <v>#N/A</v>
      </c>
    </row>
    <row r="10" spans="1:15" ht="13.5" customHeight="1">
      <c r="A10" s="6" t="s">
        <v>2220</v>
      </c>
      <c r="B10" s="202" t="s">
        <v>1625</v>
      </c>
      <c r="C10" s="6" t="s">
        <v>647</v>
      </c>
      <c r="D10" s="6" t="s">
        <v>646</v>
      </c>
      <c r="E10" s="6">
        <v>2</v>
      </c>
      <c r="F10" s="6">
        <v>0</v>
      </c>
      <c r="G10" s="5">
        <v>0</v>
      </c>
      <c r="H10" s="5">
        <v>0</v>
      </c>
      <c r="I10" s="6">
        <v>0</v>
      </c>
      <c r="J10" s="6">
        <v>0</v>
      </c>
      <c r="K10" s="6">
        <v>0</v>
      </c>
      <c r="L10" s="6">
        <v>0</v>
      </c>
      <c r="M10" s="6">
        <v>74.857142857142861</v>
      </c>
      <c r="N10" s="6" t="e">
        <v>#N/A</v>
      </c>
      <c r="O10" s="6" t="e">
        <v>#N/A</v>
      </c>
    </row>
    <row r="11" spans="1:15" ht="13.5" customHeight="1">
      <c r="A11" s="6" t="s">
        <v>2220</v>
      </c>
      <c r="B11" s="202" t="s">
        <v>1625</v>
      </c>
      <c r="C11" s="6" t="s">
        <v>593</v>
      </c>
      <c r="D11" s="6" t="s">
        <v>592</v>
      </c>
      <c r="E11" s="6">
        <v>2</v>
      </c>
      <c r="F11" s="6">
        <v>0</v>
      </c>
      <c r="G11" s="5">
        <v>0</v>
      </c>
      <c r="H11" s="5">
        <v>0</v>
      </c>
      <c r="I11" s="6">
        <v>0</v>
      </c>
      <c r="J11" s="6">
        <v>0</v>
      </c>
      <c r="K11" s="6">
        <v>0</v>
      </c>
      <c r="L11" s="6">
        <v>0</v>
      </c>
      <c r="M11" s="6">
        <v>10.984142857142858</v>
      </c>
      <c r="N11" s="6" t="e">
        <v>#N/A</v>
      </c>
      <c r="O11" s="6" t="e">
        <v>#N/A</v>
      </c>
    </row>
    <row r="12" spans="1:15" ht="13.5" customHeight="1">
      <c r="A12" s="6" t="s">
        <v>2220</v>
      </c>
      <c r="B12" s="202" t="s">
        <v>1625</v>
      </c>
      <c r="C12" s="6" t="s">
        <v>2225</v>
      </c>
      <c r="D12" s="6" t="s">
        <v>568</v>
      </c>
      <c r="E12" s="6">
        <v>4</v>
      </c>
      <c r="F12" s="6">
        <v>0</v>
      </c>
      <c r="G12" s="5">
        <v>0</v>
      </c>
      <c r="H12" s="5">
        <v>0</v>
      </c>
      <c r="I12" s="6">
        <v>0</v>
      </c>
      <c r="J12" s="6">
        <v>0</v>
      </c>
      <c r="K12" s="6">
        <v>0</v>
      </c>
      <c r="L12" s="6">
        <v>0</v>
      </c>
      <c r="M12" s="6">
        <v>24.000000000000004</v>
      </c>
      <c r="N12" s="6" t="e">
        <v>#N/A</v>
      </c>
      <c r="O12" s="6" t="e">
        <v>#N/A</v>
      </c>
    </row>
    <row r="13" spans="1:15" ht="13.5" customHeight="1">
      <c r="A13" s="6" t="s">
        <v>2220</v>
      </c>
      <c r="B13" s="202" t="s">
        <v>1625</v>
      </c>
      <c r="C13" s="6" t="s">
        <v>340</v>
      </c>
      <c r="D13" s="6" t="s">
        <v>339</v>
      </c>
      <c r="E13" s="6">
        <v>2</v>
      </c>
      <c r="F13" s="6">
        <v>0</v>
      </c>
      <c r="G13" s="5">
        <v>0</v>
      </c>
      <c r="H13" s="5">
        <v>0</v>
      </c>
      <c r="I13" s="6">
        <v>0</v>
      </c>
      <c r="J13" s="6">
        <v>0</v>
      </c>
      <c r="K13" s="6">
        <v>0</v>
      </c>
      <c r="L13" s="6">
        <v>0</v>
      </c>
      <c r="M13" s="6">
        <v>18.095285714285716</v>
      </c>
      <c r="N13" s="6" t="e">
        <v>#N/A</v>
      </c>
      <c r="O13" s="6" t="e">
        <v>#N/A</v>
      </c>
    </row>
    <row r="14" spans="1:15" ht="13.5" customHeight="1">
      <c r="A14" s="6" t="s">
        <v>2220</v>
      </c>
      <c r="B14" s="202" t="s">
        <v>1625</v>
      </c>
      <c r="C14" s="6" t="s">
        <v>337</v>
      </c>
      <c r="D14" s="6" t="s">
        <v>148</v>
      </c>
      <c r="E14" s="6">
        <v>2</v>
      </c>
      <c r="F14" s="6">
        <v>0</v>
      </c>
      <c r="G14" s="5">
        <v>0</v>
      </c>
      <c r="H14" s="5">
        <v>0</v>
      </c>
      <c r="I14" s="6">
        <v>0</v>
      </c>
      <c r="J14" s="6">
        <v>0</v>
      </c>
      <c r="K14" s="6">
        <v>0</v>
      </c>
      <c r="L14" s="6">
        <v>0</v>
      </c>
      <c r="M14" s="6">
        <v>18.095285714285716</v>
      </c>
      <c r="N14" s="6" t="e">
        <v>#N/A</v>
      </c>
      <c r="O14" s="6" t="e">
        <v>#N/A</v>
      </c>
    </row>
    <row r="15" spans="1:15" ht="13.5" customHeight="1">
      <c r="A15" s="6" t="s">
        <v>2220</v>
      </c>
      <c r="B15" s="202" t="s">
        <v>1625</v>
      </c>
      <c r="C15" s="6" t="s">
        <v>2226</v>
      </c>
      <c r="D15" s="6" t="s">
        <v>570</v>
      </c>
      <c r="E15" s="6">
        <v>4</v>
      </c>
      <c r="F15" s="6">
        <v>0</v>
      </c>
      <c r="G15" s="5">
        <v>0</v>
      </c>
      <c r="H15" s="5">
        <v>0</v>
      </c>
      <c r="I15" s="6">
        <v>0</v>
      </c>
      <c r="J15" s="6">
        <v>0</v>
      </c>
      <c r="K15" s="6">
        <v>0</v>
      </c>
      <c r="L15" s="6">
        <v>0</v>
      </c>
      <c r="M15" s="6">
        <v>9.1428571428571441</v>
      </c>
      <c r="N15" s="6" t="e">
        <v>#N/A</v>
      </c>
      <c r="O15" s="6" t="e">
        <v>#N/A</v>
      </c>
    </row>
    <row r="16" spans="1:15" ht="13.5" customHeight="1">
      <c r="A16" s="6" t="s">
        <v>2220</v>
      </c>
      <c r="B16" s="202" t="s">
        <v>1625</v>
      </c>
      <c r="C16" s="6" t="s">
        <v>2227</v>
      </c>
      <c r="D16" s="6" t="s">
        <v>572</v>
      </c>
      <c r="E16" s="6">
        <v>1</v>
      </c>
      <c r="F16" s="6">
        <v>0</v>
      </c>
      <c r="G16" s="5">
        <v>0</v>
      </c>
      <c r="H16" s="5">
        <v>0</v>
      </c>
      <c r="I16" s="6">
        <v>0</v>
      </c>
      <c r="J16" s="6">
        <v>0</v>
      </c>
      <c r="K16" s="6">
        <v>0</v>
      </c>
      <c r="L16" s="6">
        <v>0</v>
      </c>
      <c r="M16" s="6">
        <v>1.4285714285714286</v>
      </c>
      <c r="N16" s="6" t="e">
        <v>#N/A</v>
      </c>
      <c r="O16" s="6" t="e">
        <v>#N/A</v>
      </c>
    </row>
    <row r="17" spans="1:15" ht="13.5" customHeight="1">
      <c r="A17" s="6" t="s">
        <v>2220</v>
      </c>
      <c r="B17" s="202" t="s">
        <v>1625</v>
      </c>
      <c r="C17" s="6" t="s">
        <v>577</v>
      </c>
      <c r="D17" s="6" t="s">
        <v>762</v>
      </c>
      <c r="E17" s="6">
        <v>4</v>
      </c>
      <c r="F17" s="6">
        <v>0</v>
      </c>
      <c r="G17" s="5">
        <v>0</v>
      </c>
      <c r="H17" s="5">
        <v>0</v>
      </c>
      <c r="I17" s="6">
        <v>0</v>
      </c>
      <c r="J17" s="6">
        <v>0</v>
      </c>
      <c r="K17" s="6">
        <v>0</v>
      </c>
      <c r="L17" s="6">
        <v>0</v>
      </c>
      <c r="M17" s="6">
        <v>78.285714285714292</v>
      </c>
      <c r="N17" s="6" t="e">
        <v>#N/A</v>
      </c>
      <c r="O17" s="6" t="e">
        <v>#N/A</v>
      </c>
    </row>
    <row r="18" spans="1:15" ht="13.5" customHeight="1">
      <c r="A18" s="6" t="s">
        <v>2220</v>
      </c>
      <c r="B18" s="202" t="s">
        <v>1625</v>
      </c>
      <c r="C18" s="6" t="s">
        <v>764</v>
      </c>
      <c r="D18" s="6" t="s">
        <v>763</v>
      </c>
      <c r="E18" s="6">
        <v>4</v>
      </c>
      <c r="F18" s="6">
        <v>0</v>
      </c>
      <c r="G18" s="5">
        <v>0</v>
      </c>
      <c r="H18" s="5">
        <v>0</v>
      </c>
      <c r="I18" s="6">
        <v>0</v>
      </c>
      <c r="J18" s="6">
        <v>0</v>
      </c>
      <c r="K18" s="6">
        <v>0</v>
      </c>
      <c r="L18" s="6">
        <v>0</v>
      </c>
      <c r="M18" s="6">
        <v>12.571428571428573</v>
      </c>
      <c r="N18" s="6" t="e">
        <v>#N/A</v>
      </c>
      <c r="O18" s="6" t="e">
        <v>#N/A</v>
      </c>
    </row>
    <row r="19" spans="1:15" ht="13.5" customHeight="1">
      <c r="A19" s="6" t="s">
        <v>2220</v>
      </c>
      <c r="B19" s="202" t="s">
        <v>1625</v>
      </c>
      <c r="C19" s="6" t="s">
        <v>2228</v>
      </c>
      <c r="D19" s="6" t="s">
        <v>343</v>
      </c>
      <c r="E19" s="6">
        <v>8</v>
      </c>
      <c r="F19" s="6">
        <v>0</v>
      </c>
      <c r="G19" s="5">
        <v>0</v>
      </c>
      <c r="H19" s="5">
        <v>0</v>
      </c>
      <c r="I19" s="6">
        <v>0</v>
      </c>
      <c r="J19" s="6">
        <v>0</v>
      </c>
      <c r="K19" s="6">
        <v>0</v>
      </c>
      <c r="L19" s="6">
        <v>0</v>
      </c>
      <c r="M19" s="6">
        <v>53.333285714285722</v>
      </c>
      <c r="N19" s="6" t="e">
        <v>#N/A</v>
      </c>
      <c r="O19" s="6" t="e">
        <v>#N/A</v>
      </c>
    </row>
    <row r="20" spans="1:15" ht="13.5" customHeight="1">
      <c r="A20" s="6" t="s">
        <v>2220</v>
      </c>
      <c r="B20" s="202" t="s">
        <v>1625</v>
      </c>
      <c r="C20" s="6" t="s">
        <v>2229</v>
      </c>
      <c r="D20" s="6" t="s">
        <v>765</v>
      </c>
      <c r="E20" s="6">
        <v>4</v>
      </c>
      <c r="F20" s="6">
        <v>0</v>
      </c>
      <c r="G20" s="5">
        <v>0</v>
      </c>
      <c r="H20" s="5">
        <v>0</v>
      </c>
      <c r="I20" s="6">
        <v>0</v>
      </c>
      <c r="J20" s="6">
        <v>0</v>
      </c>
      <c r="K20" s="6">
        <v>0</v>
      </c>
      <c r="L20" s="6">
        <v>0</v>
      </c>
      <c r="M20" s="6">
        <v>13.904714285714286</v>
      </c>
      <c r="N20" s="6" t="e">
        <v>#N/A</v>
      </c>
      <c r="O20" s="6" t="e">
        <v>#N/A</v>
      </c>
    </row>
    <row r="21" spans="1:15" ht="13.5" customHeight="1">
      <c r="A21" s="6" t="s">
        <v>2220</v>
      </c>
      <c r="B21" s="202" t="s">
        <v>1625</v>
      </c>
      <c r="C21" s="6" t="s">
        <v>2230</v>
      </c>
      <c r="D21" s="6" t="s">
        <v>767</v>
      </c>
      <c r="E21" s="6">
        <v>4</v>
      </c>
      <c r="F21" s="6">
        <v>0</v>
      </c>
      <c r="G21" s="5">
        <v>0</v>
      </c>
      <c r="H21" s="5">
        <v>0</v>
      </c>
      <c r="I21" s="6">
        <v>0</v>
      </c>
      <c r="J21" s="6">
        <v>0</v>
      </c>
      <c r="K21" s="6">
        <v>0</v>
      </c>
      <c r="L21" s="6">
        <v>0</v>
      </c>
      <c r="M21" s="6">
        <v>3.6825714285714288</v>
      </c>
      <c r="N21" s="6" t="e">
        <v>#N/A</v>
      </c>
      <c r="O21" s="6" t="e">
        <v>#N/A</v>
      </c>
    </row>
    <row r="22" spans="1:15" ht="13.5" customHeight="1">
      <c r="A22" s="6" t="s">
        <v>2220</v>
      </c>
      <c r="B22" s="202" t="s">
        <v>1625</v>
      </c>
      <c r="C22" s="6" t="s">
        <v>2231</v>
      </c>
      <c r="D22" s="6" t="s">
        <v>650</v>
      </c>
      <c r="E22" s="6">
        <v>4</v>
      </c>
      <c r="F22" s="6">
        <v>0</v>
      </c>
      <c r="G22" s="5">
        <v>0</v>
      </c>
      <c r="H22" s="5">
        <v>0</v>
      </c>
      <c r="I22" s="6">
        <v>0</v>
      </c>
      <c r="J22" s="6">
        <v>0</v>
      </c>
      <c r="K22" s="6">
        <v>0</v>
      </c>
      <c r="L22" s="6">
        <v>0</v>
      </c>
      <c r="M22" s="6">
        <v>3.7142857142857149</v>
      </c>
      <c r="N22" s="6" t="e">
        <v>#N/A</v>
      </c>
      <c r="O22" s="6" t="e">
        <v>#N/A</v>
      </c>
    </row>
    <row r="23" spans="1:15" ht="13.5" customHeight="1">
      <c r="A23" s="6" t="s">
        <v>2220</v>
      </c>
      <c r="B23" s="202" t="s">
        <v>1625</v>
      </c>
      <c r="C23" s="6" t="s">
        <v>414</v>
      </c>
      <c r="D23" s="6" t="s">
        <v>413</v>
      </c>
      <c r="E23" s="6">
        <v>2</v>
      </c>
      <c r="F23" s="6">
        <v>0</v>
      </c>
      <c r="G23" s="5">
        <v>0</v>
      </c>
      <c r="H23" s="5">
        <v>0</v>
      </c>
      <c r="I23" s="6">
        <v>0</v>
      </c>
      <c r="J23" s="6">
        <v>0</v>
      </c>
      <c r="K23" s="6">
        <v>0</v>
      </c>
      <c r="L23" s="6">
        <v>0</v>
      </c>
      <c r="M23" s="6">
        <v>31</v>
      </c>
      <c r="N23" s="6" t="e">
        <v>#N/A</v>
      </c>
      <c r="O23" s="6" t="e">
        <v>#N/A</v>
      </c>
    </row>
    <row r="24" spans="1:15" ht="13.5" customHeight="1">
      <c r="A24" s="6" t="s">
        <v>2220</v>
      </c>
      <c r="B24" s="202" t="s">
        <v>1625</v>
      </c>
      <c r="C24" s="6" t="s">
        <v>2232</v>
      </c>
      <c r="D24" s="6" t="s">
        <v>584</v>
      </c>
      <c r="E24" s="6">
        <v>1</v>
      </c>
      <c r="F24" s="6">
        <v>0</v>
      </c>
      <c r="G24" s="5">
        <v>0</v>
      </c>
      <c r="H24" s="5">
        <v>0</v>
      </c>
      <c r="I24" s="6">
        <v>0</v>
      </c>
      <c r="J24" s="6">
        <v>0</v>
      </c>
      <c r="K24" s="6">
        <v>0</v>
      </c>
      <c r="L24" s="6">
        <v>0</v>
      </c>
      <c r="M24" s="6">
        <v>5.1428571428571432</v>
      </c>
      <c r="N24" s="6" t="e">
        <v>#N/A</v>
      </c>
      <c r="O24" s="6" t="e">
        <v>#N/A</v>
      </c>
    </row>
    <row r="25" spans="1:15" ht="13.5" customHeight="1">
      <c r="A25" s="6" t="s">
        <v>2220</v>
      </c>
      <c r="B25" s="202" t="s">
        <v>1625</v>
      </c>
      <c r="C25" s="6" t="s">
        <v>2233</v>
      </c>
      <c r="D25" s="6" t="s">
        <v>535</v>
      </c>
      <c r="E25" s="6">
        <v>1</v>
      </c>
      <c r="F25" s="6">
        <v>0</v>
      </c>
      <c r="G25" s="5">
        <v>0</v>
      </c>
      <c r="H25" s="5">
        <v>0</v>
      </c>
      <c r="I25" s="6">
        <v>0</v>
      </c>
      <c r="J25" s="6">
        <v>0</v>
      </c>
      <c r="K25" s="6">
        <v>0</v>
      </c>
      <c r="L25" s="6">
        <v>0</v>
      </c>
      <c r="M25" s="6">
        <v>11.309571428571429</v>
      </c>
      <c r="N25" s="6" t="e">
        <v>#N/A</v>
      </c>
      <c r="O25" s="6" t="e">
        <v>#N/A</v>
      </c>
    </row>
    <row r="26" spans="1:15" ht="13.5" customHeight="1">
      <c r="A26" s="6" t="s">
        <v>2220</v>
      </c>
      <c r="B26" s="202" t="s">
        <v>1625</v>
      </c>
      <c r="C26" s="6" t="s">
        <v>2234</v>
      </c>
      <c r="D26" s="6" t="s">
        <v>586</v>
      </c>
      <c r="E26" s="6">
        <v>1</v>
      </c>
      <c r="F26" s="6">
        <v>0</v>
      </c>
      <c r="G26" s="5">
        <v>0</v>
      </c>
      <c r="H26" s="5">
        <v>0</v>
      </c>
      <c r="I26" s="6">
        <v>0</v>
      </c>
      <c r="J26" s="6">
        <v>0</v>
      </c>
      <c r="K26" s="6">
        <v>0</v>
      </c>
      <c r="L26" s="6">
        <v>0</v>
      </c>
      <c r="M26" s="6">
        <v>13.428571428571431</v>
      </c>
      <c r="N26" s="6" t="e">
        <v>#N/A</v>
      </c>
      <c r="O26" s="6" t="e">
        <v>#N/A</v>
      </c>
    </row>
    <row r="27" spans="1:15" ht="13.5" customHeight="1">
      <c r="A27" s="6" t="s">
        <v>2220</v>
      </c>
      <c r="B27" s="202" t="s">
        <v>1625</v>
      </c>
      <c r="C27" s="6" t="s">
        <v>2235</v>
      </c>
      <c r="D27" s="6" t="s">
        <v>2236</v>
      </c>
      <c r="E27" s="6">
        <v>2</v>
      </c>
      <c r="F27" s="6">
        <v>0</v>
      </c>
      <c r="G27" s="5">
        <v>0.01</v>
      </c>
      <c r="H27" s="5">
        <v>0.1</v>
      </c>
      <c r="I27" s="6">
        <v>0</v>
      </c>
      <c r="J27" s="6">
        <v>0</v>
      </c>
      <c r="K27" s="6" t="s">
        <v>367</v>
      </c>
      <c r="L27" s="6">
        <v>1942</v>
      </c>
      <c r="M27" s="6">
        <v>154.27328571428572</v>
      </c>
      <c r="N27" s="6" t="e">
        <v>#N/A</v>
      </c>
      <c r="O27" s="6" t="e">
        <v>#N/A</v>
      </c>
    </row>
    <row r="28" spans="1:15" ht="13.5" customHeight="1">
      <c r="A28" s="6" t="s">
        <v>2220</v>
      </c>
      <c r="B28" s="202" t="s">
        <v>1625</v>
      </c>
      <c r="C28" s="6" t="s">
        <v>2237</v>
      </c>
      <c r="D28" s="6" t="s">
        <v>2238</v>
      </c>
      <c r="E28" s="6">
        <v>2</v>
      </c>
      <c r="F28" s="6">
        <v>0</v>
      </c>
      <c r="G28" s="5">
        <v>0.01</v>
      </c>
      <c r="H28" s="5">
        <v>0.1</v>
      </c>
      <c r="I28" s="6">
        <v>0</v>
      </c>
      <c r="J28" s="6">
        <v>0</v>
      </c>
      <c r="K28" s="6" t="s">
        <v>363</v>
      </c>
      <c r="L28" s="6">
        <v>413</v>
      </c>
      <c r="M28" s="6">
        <v>104.86385714285716</v>
      </c>
      <c r="N28" s="6" t="e">
        <v>#N/A</v>
      </c>
      <c r="O28" s="6" t="e">
        <v>#N/A</v>
      </c>
    </row>
    <row r="29" spans="1:15" ht="13.5" customHeight="1">
      <c r="A29" s="6" t="s">
        <v>2220</v>
      </c>
      <c r="B29" s="202" t="s">
        <v>1625</v>
      </c>
      <c r="C29" s="6" t="s">
        <v>2239</v>
      </c>
      <c r="D29" s="6" t="s">
        <v>2240</v>
      </c>
      <c r="E29" s="6">
        <v>2</v>
      </c>
      <c r="F29" s="6">
        <v>0</v>
      </c>
      <c r="G29" s="5">
        <v>0.01</v>
      </c>
      <c r="H29" s="5">
        <v>0.1</v>
      </c>
      <c r="I29" s="6">
        <v>0</v>
      </c>
      <c r="J29" s="6">
        <v>0</v>
      </c>
      <c r="K29" s="6" t="s">
        <v>363</v>
      </c>
      <c r="L29" s="6">
        <v>1413</v>
      </c>
      <c r="M29" s="6">
        <v>282.67342857142859</v>
      </c>
      <c r="N29" s="6" t="e">
        <v>#N/A</v>
      </c>
      <c r="O29" s="6" t="e">
        <v>#N/A</v>
      </c>
    </row>
    <row r="30" spans="1:15" ht="13.5" customHeight="1">
      <c r="A30" s="6" t="s">
        <v>2220</v>
      </c>
      <c r="B30" s="202" t="s">
        <v>1625</v>
      </c>
      <c r="C30" s="6" t="s">
        <v>2241</v>
      </c>
      <c r="D30" s="6" t="s">
        <v>2242</v>
      </c>
      <c r="E30" s="6">
        <v>1</v>
      </c>
      <c r="F30" s="6">
        <v>0</v>
      </c>
      <c r="G30" s="5">
        <v>0.01</v>
      </c>
      <c r="H30" s="5">
        <v>0.1</v>
      </c>
      <c r="I30" s="6">
        <v>0</v>
      </c>
      <c r="J30" s="6">
        <v>0</v>
      </c>
      <c r="K30" s="6" t="s">
        <v>531</v>
      </c>
      <c r="L30" s="6">
        <v>346</v>
      </c>
      <c r="M30" s="6">
        <v>55.482571428571433</v>
      </c>
      <c r="N30" s="6" t="e">
        <v>#N/A</v>
      </c>
      <c r="O30" s="6" t="e">
        <v>#N/A</v>
      </c>
    </row>
    <row r="31" spans="1:15" ht="13.5" customHeight="1">
      <c r="A31" s="6" t="s">
        <v>2220</v>
      </c>
      <c r="B31" s="202" t="s">
        <v>1625</v>
      </c>
      <c r="C31" s="6" t="s">
        <v>2243</v>
      </c>
      <c r="D31" s="6" t="s">
        <v>2244</v>
      </c>
      <c r="E31" s="6">
        <v>2</v>
      </c>
      <c r="F31" s="6">
        <v>0</v>
      </c>
      <c r="G31" s="5">
        <v>0.01</v>
      </c>
      <c r="H31" s="5">
        <v>0.1</v>
      </c>
      <c r="I31" s="6">
        <v>0</v>
      </c>
      <c r="J31" s="6">
        <v>0</v>
      </c>
      <c r="K31" s="6" t="s">
        <v>1733</v>
      </c>
      <c r="L31" s="6">
        <v>164</v>
      </c>
      <c r="M31" s="6">
        <v>54.473857142857149</v>
      </c>
      <c r="N31" s="6" t="e">
        <v>#N/A</v>
      </c>
      <c r="O31" s="6" t="e">
        <v>#N/A</v>
      </c>
    </row>
    <row r="32" spans="1:15" ht="13.5" customHeight="1">
      <c r="A32" s="6" t="s">
        <v>2220</v>
      </c>
      <c r="B32" s="202" t="s">
        <v>1625</v>
      </c>
      <c r="C32" s="6" t="s">
        <v>2245</v>
      </c>
      <c r="D32" s="6" t="s">
        <v>2246</v>
      </c>
      <c r="E32" s="6">
        <v>1</v>
      </c>
      <c r="F32" s="6">
        <v>0</v>
      </c>
      <c r="G32" s="5">
        <v>0.01</v>
      </c>
      <c r="H32" s="5">
        <v>0.1</v>
      </c>
      <c r="I32" s="6">
        <v>0</v>
      </c>
      <c r="J32" s="6">
        <v>0</v>
      </c>
      <c r="K32" s="6" t="s">
        <v>539</v>
      </c>
      <c r="L32" s="6">
        <v>147</v>
      </c>
      <c r="M32" s="6">
        <v>14.676428571428573</v>
      </c>
      <c r="N32" s="6" t="e">
        <v>#N/A</v>
      </c>
      <c r="O32" s="6" t="e">
        <v>#N/A</v>
      </c>
    </row>
    <row r="33" spans="1:15" ht="13.5" customHeight="1">
      <c r="A33" s="6" t="s">
        <v>2220</v>
      </c>
      <c r="B33" s="202" t="s">
        <v>1625</v>
      </c>
      <c r="C33" s="6" t="s">
        <v>2247</v>
      </c>
      <c r="D33" s="6" t="s">
        <v>2248</v>
      </c>
      <c r="E33" s="6">
        <v>1</v>
      </c>
      <c r="F33" s="6">
        <v>0</v>
      </c>
      <c r="G33" s="5">
        <v>0.01</v>
      </c>
      <c r="H33" s="5">
        <v>0.1</v>
      </c>
      <c r="I33" s="6">
        <v>0</v>
      </c>
      <c r="J33" s="6">
        <v>0</v>
      </c>
      <c r="K33" s="6" t="s">
        <v>539</v>
      </c>
      <c r="L33" s="6">
        <v>50</v>
      </c>
      <c r="M33" s="6">
        <v>13.139285714285714</v>
      </c>
      <c r="N33" s="6" t="e">
        <v>#N/A</v>
      </c>
      <c r="O33" s="6" t="e">
        <v>#N/A</v>
      </c>
    </row>
    <row r="34" spans="1:15" ht="13.5" customHeight="1">
      <c r="A34" s="6" t="s">
        <v>2220</v>
      </c>
      <c r="B34" s="202" t="s">
        <v>1625</v>
      </c>
      <c r="C34" s="6" t="s">
        <v>2249</v>
      </c>
      <c r="D34" s="6" t="s">
        <v>2250</v>
      </c>
      <c r="E34" s="6">
        <v>3</v>
      </c>
      <c r="F34" s="6">
        <v>0</v>
      </c>
      <c r="G34" s="5">
        <v>0.01</v>
      </c>
      <c r="H34" s="5">
        <v>0.1</v>
      </c>
      <c r="I34" s="6">
        <v>0</v>
      </c>
      <c r="J34" s="6">
        <v>0</v>
      </c>
      <c r="K34" s="6" t="s">
        <v>529</v>
      </c>
      <c r="L34" s="6">
        <v>166</v>
      </c>
      <c r="M34" s="6">
        <v>28.850714285714286</v>
      </c>
      <c r="N34" s="6" t="e">
        <v>#N/A</v>
      </c>
      <c r="O34" s="6" t="e">
        <v>#N/A</v>
      </c>
    </row>
    <row r="35" spans="1:15" ht="13.5" customHeight="1">
      <c r="A35" s="6" t="s">
        <v>2220</v>
      </c>
      <c r="B35" s="202" t="s">
        <v>1625</v>
      </c>
      <c r="C35" s="6" t="s">
        <v>2251</v>
      </c>
      <c r="D35" s="6" t="s">
        <v>2252</v>
      </c>
      <c r="E35" s="6">
        <v>3</v>
      </c>
      <c r="F35" s="6" t="s">
        <v>2253</v>
      </c>
      <c r="G35" s="5">
        <v>0.38</v>
      </c>
      <c r="H35" s="5">
        <v>0</v>
      </c>
      <c r="I35" s="6">
        <v>0</v>
      </c>
      <c r="J35" s="6">
        <v>0</v>
      </c>
      <c r="K35" s="6" t="s">
        <v>409</v>
      </c>
      <c r="L35" s="6">
        <v>4190</v>
      </c>
      <c r="M35" s="6">
        <v>778.35528571428574</v>
      </c>
      <c r="N35" s="6" t="e">
        <v>#N/A</v>
      </c>
      <c r="O35" s="6" t="e">
        <v>#N/A</v>
      </c>
    </row>
    <row r="36" spans="1:15" ht="13.5" customHeight="1">
      <c r="A36" s="6" t="s">
        <v>2220</v>
      </c>
      <c r="B36" s="202" t="s">
        <v>1625</v>
      </c>
      <c r="C36" s="6" t="s">
        <v>2254</v>
      </c>
      <c r="D36" s="6" t="s">
        <v>345</v>
      </c>
      <c r="E36" s="6">
        <v>16</v>
      </c>
      <c r="F36" s="6">
        <v>0</v>
      </c>
      <c r="G36" s="5">
        <v>0</v>
      </c>
      <c r="H36" s="5">
        <v>0</v>
      </c>
      <c r="I36" s="6">
        <v>0</v>
      </c>
      <c r="J36" s="6">
        <v>0</v>
      </c>
      <c r="K36" s="6">
        <v>0</v>
      </c>
      <c r="L36" s="6">
        <v>0</v>
      </c>
      <c r="M36" s="6">
        <v>43.174571428571433</v>
      </c>
      <c r="N36" s="6" t="e">
        <v>#N/A</v>
      </c>
      <c r="O36" s="6" t="e">
        <v>#N/A</v>
      </c>
    </row>
    <row r="37" spans="1:15" ht="13.5" customHeight="1">
      <c r="A37" s="6" t="s">
        <v>2220</v>
      </c>
      <c r="B37" s="202" t="s">
        <v>1625</v>
      </c>
      <c r="C37" s="6" t="s">
        <v>2255</v>
      </c>
      <c r="D37" s="6" t="s">
        <v>348</v>
      </c>
      <c r="E37" s="6">
        <v>4</v>
      </c>
      <c r="F37" s="6">
        <v>0</v>
      </c>
      <c r="G37" s="5">
        <v>0</v>
      </c>
      <c r="H37" s="5">
        <v>0</v>
      </c>
      <c r="I37" s="6">
        <v>0</v>
      </c>
      <c r="J37" s="6">
        <v>0</v>
      </c>
      <c r="K37" s="6">
        <v>0</v>
      </c>
      <c r="L37" s="6">
        <v>0</v>
      </c>
      <c r="M37" s="6">
        <v>23.492000000000004</v>
      </c>
      <c r="N37" s="6" t="e">
        <v>#N/A</v>
      </c>
      <c r="O37" s="6" t="e">
        <v>#N/A</v>
      </c>
    </row>
    <row r="38" spans="1:15" ht="13.5" customHeight="1">
      <c r="A38" s="6" t="s">
        <v>2220</v>
      </c>
      <c r="B38" s="202" t="s">
        <v>1625</v>
      </c>
      <c r="C38" s="6" t="s">
        <v>351</v>
      </c>
      <c r="D38" s="6" t="s">
        <v>350</v>
      </c>
      <c r="E38" s="6">
        <v>8</v>
      </c>
      <c r="F38" s="6">
        <v>0</v>
      </c>
      <c r="G38" s="5">
        <v>0</v>
      </c>
      <c r="H38" s="5">
        <v>0</v>
      </c>
      <c r="I38" s="6">
        <v>0</v>
      </c>
      <c r="J38" s="6">
        <v>0</v>
      </c>
      <c r="K38" s="6">
        <v>0</v>
      </c>
      <c r="L38" s="6">
        <v>0</v>
      </c>
      <c r="M38" s="6">
        <v>57.523857142857146</v>
      </c>
      <c r="N38" s="6" t="e">
        <v>#N/A</v>
      </c>
      <c r="O38" s="6" t="e">
        <v>#N/A</v>
      </c>
    </row>
    <row r="39" spans="1:15" ht="13.5" customHeight="1">
      <c r="A39" s="6" t="s">
        <v>2220</v>
      </c>
      <c r="B39" s="202" t="s">
        <v>1625</v>
      </c>
      <c r="C39" s="6" t="s">
        <v>823</v>
      </c>
      <c r="D39" s="6" t="s">
        <v>822</v>
      </c>
      <c r="E39" s="6">
        <v>6</v>
      </c>
      <c r="F39" s="6">
        <v>0</v>
      </c>
      <c r="G39" s="5">
        <v>0</v>
      </c>
      <c r="H39" s="5">
        <v>0</v>
      </c>
      <c r="I39" s="6">
        <v>0</v>
      </c>
      <c r="J39" s="6">
        <v>0</v>
      </c>
      <c r="K39" s="6">
        <v>0</v>
      </c>
      <c r="L39" s="6">
        <v>0</v>
      </c>
      <c r="M39" s="6">
        <v>77.285714285714292</v>
      </c>
      <c r="N39" s="6" t="e">
        <v>#N/A</v>
      </c>
      <c r="O39" s="6" t="e">
        <v>#N/A</v>
      </c>
    </row>
    <row r="40" spans="1:15" ht="13.5" customHeight="1">
      <c r="A40" s="6" t="s">
        <v>2220</v>
      </c>
      <c r="B40" s="202" t="s">
        <v>1625</v>
      </c>
      <c r="C40" s="6" t="s">
        <v>2256</v>
      </c>
      <c r="D40" s="6" t="s">
        <v>1377</v>
      </c>
      <c r="E40" s="6">
        <v>1</v>
      </c>
      <c r="F40" s="6">
        <v>0</v>
      </c>
      <c r="G40" s="5">
        <v>0</v>
      </c>
      <c r="H40" s="5">
        <v>0</v>
      </c>
      <c r="I40" s="6">
        <v>0</v>
      </c>
      <c r="J40" s="6">
        <v>0</v>
      </c>
      <c r="K40" s="6">
        <v>0</v>
      </c>
      <c r="L40" s="6">
        <v>0</v>
      </c>
      <c r="M40" s="6">
        <v>275.96828571428574</v>
      </c>
      <c r="N40" s="6" t="e">
        <v>#N/A</v>
      </c>
      <c r="O40" s="6" t="e">
        <v>#N/A</v>
      </c>
    </row>
    <row r="41" spans="1:15" ht="13.5" customHeight="1">
      <c r="A41" s="6" t="s">
        <v>2220</v>
      </c>
      <c r="B41" s="202" t="s">
        <v>1625</v>
      </c>
      <c r="C41" s="6" t="s">
        <v>2257</v>
      </c>
      <c r="D41" s="6" t="s">
        <v>2258</v>
      </c>
      <c r="E41" s="6">
        <v>1</v>
      </c>
      <c r="F41" s="6">
        <v>0</v>
      </c>
      <c r="G41" s="5">
        <v>0.01</v>
      </c>
      <c r="H41" s="5">
        <v>0.1</v>
      </c>
      <c r="I41" s="6">
        <v>0</v>
      </c>
      <c r="J41" s="6">
        <v>0</v>
      </c>
      <c r="K41" s="6" t="s">
        <v>533</v>
      </c>
      <c r="L41" s="6">
        <v>33</v>
      </c>
      <c r="M41" s="6">
        <v>13.507285714285715</v>
      </c>
      <c r="N41" s="6" t="e">
        <v>#N/A</v>
      </c>
      <c r="O41" s="6" t="e">
        <v>#N/A</v>
      </c>
    </row>
    <row r="42" spans="1:15" ht="13.5" customHeight="1">
      <c r="A42" s="6" t="s">
        <v>2220</v>
      </c>
      <c r="B42" s="202" t="s">
        <v>1625</v>
      </c>
      <c r="C42" s="6" t="s">
        <v>926</v>
      </c>
      <c r="D42" s="6" t="s">
        <v>925</v>
      </c>
      <c r="E42" s="6">
        <v>2</v>
      </c>
      <c r="F42" s="6">
        <v>0</v>
      </c>
      <c r="G42" s="5">
        <v>0</v>
      </c>
      <c r="H42" s="5">
        <v>0</v>
      </c>
      <c r="I42" s="6">
        <v>0</v>
      </c>
      <c r="J42" s="6">
        <v>0</v>
      </c>
      <c r="K42" s="6">
        <v>0</v>
      </c>
      <c r="L42" s="6">
        <v>0</v>
      </c>
      <c r="M42" s="6">
        <v>0.52385714285714291</v>
      </c>
      <c r="N42" s="6" t="e">
        <v>#N/A</v>
      </c>
      <c r="O42" s="6" t="e">
        <v>#N/A</v>
      </c>
    </row>
    <row r="43" spans="1:15" ht="13.5" customHeight="1">
      <c r="A43" s="6" t="s">
        <v>2220</v>
      </c>
      <c r="B43" s="202" t="s">
        <v>1625</v>
      </c>
      <c r="C43" s="6" t="s">
        <v>2259</v>
      </c>
      <c r="D43" s="6" t="s">
        <v>2260</v>
      </c>
      <c r="E43" s="6">
        <v>4</v>
      </c>
      <c r="F43" s="6">
        <v>0</v>
      </c>
      <c r="G43" s="5">
        <v>0</v>
      </c>
      <c r="H43" s="5">
        <v>0</v>
      </c>
      <c r="I43" s="6">
        <v>0</v>
      </c>
      <c r="J43" s="6">
        <v>0</v>
      </c>
      <c r="K43" s="6">
        <v>0</v>
      </c>
      <c r="L43" s="6">
        <v>0</v>
      </c>
      <c r="M43" s="6">
        <v>1.4857142857142858</v>
      </c>
      <c r="N43" s="6" t="e">
        <v>#N/A</v>
      </c>
      <c r="O43" s="6" t="e">
        <v>#N/A</v>
      </c>
    </row>
    <row r="44" spans="1:15" ht="13.5" customHeight="1">
      <c r="A44" s="6" t="s">
        <v>2220</v>
      </c>
      <c r="B44" s="202" t="s">
        <v>1625</v>
      </c>
      <c r="C44" s="6" t="s">
        <v>2261</v>
      </c>
      <c r="D44" s="6" t="s">
        <v>2262</v>
      </c>
      <c r="E44" s="6">
        <v>8</v>
      </c>
      <c r="F44" s="6">
        <v>0</v>
      </c>
      <c r="G44" s="5">
        <v>0</v>
      </c>
      <c r="H44" s="5">
        <v>0</v>
      </c>
      <c r="I44" s="6">
        <v>0</v>
      </c>
      <c r="J44" s="6">
        <v>0</v>
      </c>
      <c r="K44" s="6">
        <v>0</v>
      </c>
      <c r="L44" s="6">
        <v>0</v>
      </c>
      <c r="M44" s="6">
        <v>2.9714285714285715</v>
      </c>
      <c r="N44" s="6" t="e">
        <v>#N/A</v>
      </c>
      <c r="O44" s="6" t="e">
        <v>#N/A</v>
      </c>
    </row>
    <row r="45" spans="1:15" ht="13.5" customHeight="1">
      <c r="A45" s="6" t="s">
        <v>2220</v>
      </c>
      <c r="B45" s="202" t="s">
        <v>1625</v>
      </c>
      <c r="C45" s="6" t="s">
        <v>717</v>
      </c>
      <c r="D45" s="6" t="s">
        <v>716</v>
      </c>
      <c r="E45" s="6">
        <v>8</v>
      </c>
      <c r="F45" s="6">
        <v>0</v>
      </c>
      <c r="G45" s="5">
        <v>0</v>
      </c>
      <c r="H45" s="5">
        <v>0</v>
      </c>
      <c r="I45" s="6">
        <v>0</v>
      </c>
      <c r="J45" s="6">
        <v>0</v>
      </c>
      <c r="K45" s="6">
        <v>0</v>
      </c>
      <c r="L45" s="6">
        <v>0</v>
      </c>
      <c r="M45" s="6">
        <v>13.460285714285716</v>
      </c>
      <c r="N45" s="6" t="e">
        <v>#N/A</v>
      </c>
      <c r="O45" s="6" t="e">
        <v>#N/A</v>
      </c>
    </row>
    <row r="46" spans="1:15" ht="13.5" customHeight="1">
      <c r="A46" s="6" t="s">
        <v>2220</v>
      </c>
      <c r="B46" s="202" t="s">
        <v>1625</v>
      </c>
      <c r="C46" s="6" t="s">
        <v>715</v>
      </c>
      <c r="D46" s="6" t="s">
        <v>714</v>
      </c>
      <c r="E46" s="6">
        <v>2</v>
      </c>
      <c r="F46" s="6">
        <v>0</v>
      </c>
      <c r="G46" s="5">
        <v>0</v>
      </c>
      <c r="H46" s="5">
        <v>0</v>
      </c>
      <c r="I46" s="6">
        <v>0</v>
      </c>
      <c r="J46" s="6">
        <v>0</v>
      </c>
      <c r="K46" s="6">
        <v>0</v>
      </c>
      <c r="L46" s="6">
        <v>0</v>
      </c>
      <c r="M46" s="6">
        <v>1.523857142857143</v>
      </c>
      <c r="N46" s="6" t="e">
        <v>#N/A</v>
      </c>
      <c r="O46" s="6" t="e">
        <v>#N/A</v>
      </c>
    </row>
    <row r="47" spans="1:15" ht="13.5" customHeight="1">
      <c r="A47" s="6" t="s">
        <v>2220</v>
      </c>
      <c r="B47" s="202" t="s">
        <v>1625</v>
      </c>
      <c r="C47" s="6" t="s">
        <v>707</v>
      </c>
      <c r="D47" s="6" t="s">
        <v>706</v>
      </c>
      <c r="E47" s="6">
        <v>16</v>
      </c>
      <c r="F47" s="6">
        <v>0</v>
      </c>
      <c r="G47" s="5">
        <v>0</v>
      </c>
      <c r="H47" s="5">
        <v>0</v>
      </c>
      <c r="I47" s="6">
        <v>0</v>
      </c>
      <c r="J47" s="6">
        <v>0</v>
      </c>
      <c r="K47" s="6">
        <v>0</v>
      </c>
      <c r="L47" s="6">
        <v>0</v>
      </c>
      <c r="M47" s="6">
        <v>6.6031428571428581</v>
      </c>
      <c r="N47" s="6" t="e">
        <v>#N/A</v>
      </c>
      <c r="O47" s="6" t="e">
        <v>#N/A</v>
      </c>
    </row>
    <row r="48" spans="1:15" ht="13.5" customHeight="1">
      <c r="A48" s="6" t="s">
        <v>2220</v>
      </c>
      <c r="B48" s="202" t="s">
        <v>1625</v>
      </c>
      <c r="C48" s="6" t="s">
        <v>705</v>
      </c>
      <c r="D48" s="6" t="s">
        <v>704</v>
      </c>
      <c r="E48" s="6">
        <v>8</v>
      </c>
      <c r="F48" s="6">
        <v>0</v>
      </c>
      <c r="G48" s="5">
        <v>0</v>
      </c>
      <c r="H48" s="5">
        <v>0</v>
      </c>
      <c r="I48" s="6">
        <v>0</v>
      </c>
      <c r="J48" s="6">
        <v>0</v>
      </c>
      <c r="K48" s="6">
        <v>0</v>
      </c>
      <c r="L48" s="6">
        <v>0</v>
      </c>
      <c r="M48" s="6">
        <v>3.555571428571429</v>
      </c>
      <c r="N48" s="6" t="e">
        <v>#N/A</v>
      </c>
      <c r="O48" s="6" t="e">
        <v>#N/A</v>
      </c>
    </row>
    <row r="49" spans="1:15" ht="13.5" customHeight="1">
      <c r="A49" s="6" t="s">
        <v>2220</v>
      </c>
      <c r="B49" s="202" t="s">
        <v>1625</v>
      </c>
      <c r="C49" s="6" t="s">
        <v>2263</v>
      </c>
      <c r="D49" s="6" t="s">
        <v>1106</v>
      </c>
      <c r="E49" s="6">
        <v>2</v>
      </c>
      <c r="F49" s="6">
        <v>0</v>
      </c>
      <c r="G49" s="5">
        <v>0</v>
      </c>
      <c r="H49" s="5">
        <v>0</v>
      </c>
      <c r="I49" s="6">
        <v>0</v>
      </c>
      <c r="J49" s="6">
        <v>0</v>
      </c>
      <c r="K49" s="6">
        <v>0</v>
      </c>
      <c r="L49" s="6">
        <v>0</v>
      </c>
      <c r="M49" s="6">
        <v>2.3810000000000002</v>
      </c>
      <c r="N49" s="6" t="e">
        <v>#N/A</v>
      </c>
      <c r="O49" s="6" t="e">
        <v>#N/A</v>
      </c>
    </row>
    <row r="50" spans="1:15" ht="13.5" customHeight="1">
      <c r="A50" s="6" t="s">
        <v>2220</v>
      </c>
      <c r="B50" s="202" t="s">
        <v>1625</v>
      </c>
      <c r="C50" s="6" t="s">
        <v>2264</v>
      </c>
      <c r="D50" s="6" t="s">
        <v>2265</v>
      </c>
      <c r="E50" s="6">
        <v>2</v>
      </c>
      <c r="F50" s="6">
        <v>0</v>
      </c>
      <c r="G50" s="5">
        <v>0</v>
      </c>
      <c r="H50" s="5">
        <v>0</v>
      </c>
      <c r="I50" s="6">
        <v>0</v>
      </c>
      <c r="J50" s="6">
        <v>0</v>
      </c>
      <c r="K50" s="6">
        <v>0</v>
      </c>
      <c r="L50" s="6">
        <v>0</v>
      </c>
      <c r="M50" s="6">
        <v>0.74285714285714288</v>
      </c>
      <c r="N50" s="6" t="e">
        <v>#N/A</v>
      </c>
      <c r="O50" s="6" t="e">
        <v>#N/A</v>
      </c>
    </row>
    <row r="51" spans="1:15" ht="13.5" customHeight="1">
      <c r="A51" s="6" t="s">
        <v>2220</v>
      </c>
      <c r="B51" s="202" t="s">
        <v>1625</v>
      </c>
      <c r="C51" s="6" t="s">
        <v>2266</v>
      </c>
      <c r="D51" s="6" t="s">
        <v>2267</v>
      </c>
      <c r="E51" s="6">
        <v>4</v>
      </c>
      <c r="F51" s="6">
        <v>0</v>
      </c>
      <c r="G51" s="5">
        <v>0</v>
      </c>
      <c r="H51" s="5">
        <v>0</v>
      </c>
      <c r="I51" s="6">
        <v>0</v>
      </c>
      <c r="J51" s="6">
        <v>0</v>
      </c>
      <c r="K51" s="6">
        <v>0</v>
      </c>
      <c r="L51" s="6">
        <v>0</v>
      </c>
      <c r="M51" s="6">
        <v>1.4857142857142858</v>
      </c>
      <c r="N51" s="6" t="e">
        <v>#N/A</v>
      </c>
      <c r="O51" s="6" t="e">
        <v>#N/A</v>
      </c>
    </row>
    <row r="52" spans="1:15" ht="13.5" customHeight="1">
      <c r="A52" s="6" t="s">
        <v>2220</v>
      </c>
      <c r="B52" s="202" t="s">
        <v>1625</v>
      </c>
      <c r="C52" s="6" t="s">
        <v>1643</v>
      </c>
      <c r="D52" s="6" t="s">
        <v>1642</v>
      </c>
      <c r="E52" s="6">
        <v>0.16</v>
      </c>
      <c r="F52" s="6">
        <v>0</v>
      </c>
      <c r="G52" s="5">
        <v>0</v>
      </c>
      <c r="H52" s="5">
        <v>0</v>
      </c>
      <c r="I52" s="6">
        <v>0</v>
      </c>
      <c r="J52" s="6">
        <v>0</v>
      </c>
      <c r="K52" s="6">
        <v>0</v>
      </c>
      <c r="L52" s="6">
        <v>0</v>
      </c>
      <c r="M52" s="6">
        <v>36.09028571428572</v>
      </c>
      <c r="N52" s="6" t="e">
        <v>#N/A</v>
      </c>
      <c r="O52" s="6" t="e">
        <v>#N/A</v>
      </c>
    </row>
    <row r="53" spans="1:15" ht="13.5" customHeight="1">
      <c r="A53" s="6" t="s">
        <v>2220</v>
      </c>
      <c r="B53" s="202" t="s">
        <v>1625</v>
      </c>
      <c r="C53" s="6" t="s">
        <v>1626</v>
      </c>
      <c r="D53" s="6" t="s">
        <v>143</v>
      </c>
      <c r="E53" s="6">
        <v>1.25</v>
      </c>
      <c r="F53" s="6">
        <v>0</v>
      </c>
      <c r="G53" s="5">
        <v>0</v>
      </c>
      <c r="H53" s="5">
        <v>0</v>
      </c>
      <c r="I53" s="6">
        <v>0</v>
      </c>
      <c r="J53" s="6">
        <v>0</v>
      </c>
      <c r="K53" s="6">
        <v>0</v>
      </c>
      <c r="L53" s="6">
        <v>0</v>
      </c>
      <c r="M53" s="6">
        <v>172.30571428571432</v>
      </c>
      <c r="N53" s="6" t="e">
        <v>#N/A</v>
      </c>
      <c r="O53" s="6" t="e">
        <v>#N/A</v>
      </c>
    </row>
    <row r="54" spans="1:15" ht="13.5" customHeight="1">
      <c r="A54" s="6" t="s">
        <v>2268</v>
      </c>
      <c r="B54" s="11" t="s">
        <v>1625</v>
      </c>
      <c r="C54" s="6" t="s">
        <v>1436</v>
      </c>
      <c r="D54" s="6" t="s">
        <v>1435</v>
      </c>
      <c r="E54" s="6">
        <v>1</v>
      </c>
      <c r="F54" s="6">
        <v>0</v>
      </c>
      <c r="G54" s="5">
        <v>0</v>
      </c>
      <c r="H54" s="5">
        <v>0</v>
      </c>
      <c r="I54" s="6">
        <v>0</v>
      </c>
      <c r="J54" s="6">
        <v>0</v>
      </c>
      <c r="K54" s="6">
        <v>0</v>
      </c>
      <c r="L54" s="6">
        <v>0</v>
      </c>
      <c r="M54" s="6">
        <v>1405.7142857142858</v>
      </c>
      <c r="N54" s="6" t="e">
        <v>#N/A</v>
      </c>
      <c r="O54" s="6" t="e">
        <v>#N/A</v>
      </c>
    </row>
    <row r="55" spans="1:15" ht="13.5" customHeight="1">
      <c r="A55" s="6" t="s">
        <v>2268</v>
      </c>
      <c r="B55" s="11" t="s">
        <v>1625</v>
      </c>
      <c r="C55" s="6" t="s">
        <v>1444</v>
      </c>
      <c r="D55" s="6" t="s">
        <v>1443</v>
      </c>
      <c r="E55" s="6">
        <v>1</v>
      </c>
      <c r="F55" s="6">
        <v>0</v>
      </c>
      <c r="G55" s="5">
        <v>0</v>
      </c>
      <c r="H55" s="5">
        <v>0</v>
      </c>
      <c r="I55" s="6">
        <v>0</v>
      </c>
      <c r="J55" s="6">
        <v>0</v>
      </c>
      <c r="K55" s="6">
        <v>0</v>
      </c>
      <c r="L55" s="6">
        <v>0</v>
      </c>
      <c r="M55" s="6">
        <v>86.306142857142859</v>
      </c>
      <c r="N55" s="6" t="e">
        <v>#N/A</v>
      </c>
      <c r="O55" s="6" t="e">
        <v>#N/A</v>
      </c>
    </row>
    <row r="56" spans="1:15" ht="13.5" customHeight="1">
      <c r="A56" s="6" t="s">
        <v>2268</v>
      </c>
      <c r="B56" s="11" t="s">
        <v>1625</v>
      </c>
      <c r="C56" s="6" t="s">
        <v>1617</v>
      </c>
      <c r="D56" s="6" t="s">
        <v>1447</v>
      </c>
      <c r="E56" s="6">
        <v>1</v>
      </c>
      <c r="F56" s="6">
        <v>0</v>
      </c>
      <c r="G56" s="5">
        <v>0</v>
      </c>
      <c r="H56" s="5">
        <v>0</v>
      </c>
      <c r="I56" s="6">
        <v>0</v>
      </c>
      <c r="J56" s="6">
        <v>0</v>
      </c>
      <c r="K56" s="6">
        <v>0</v>
      </c>
      <c r="L56" s="6">
        <v>0</v>
      </c>
      <c r="M56" s="6">
        <v>21.632714285714286</v>
      </c>
      <c r="N56" s="6" t="e">
        <v>#N/A</v>
      </c>
      <c r="O56" s="6" t="e">
        <v>#N/A</v>
      </c>
    </row>
    <row r="57" spans="1:15" ht="13.5" customHeight="1">
      <c r="A57" s="6" t="s">
        <v>2268</v>
      </c>
      <c r="B57" s="11" t="s">
        <v>1625</v>
      </c>
      <c r="C57" s="6" t="s">
        <v>1462</v>
      </c>
      <c r="D57" s="6" t="s">
        <v>1461</v>
      </c>
      <c r="E57" s="6">
        <v>1</v>
      </c>
      <c r="F57" s="6">
        <v>0</v>
      </c>
      <c r="G57" s="5">
        <v>0</v>
      </c>
      <c r="H57" s="5">
        <v>0</v>
      </c>
      <c r="I57" s="6">
        <v>0</v>
      </c>
      <c r="J57" s="6">
        <v>0</v>
      </c>
      <c r="K57" s="6">
        <v>0</v>
      </c>
      <c r="L57" s="6">
        <v>0</v>
      </c>
      <c r="M57" s="6">
        <v>23.142857142857142</v>
      </c>
      <c r="N57" s="6" t="e">
        <v>#N/A</v>
      </c>
      <c r="O57" s="6" t="e">
        <v>#N/A</v>
      </c>
    </row>
    <row r="58" spans="1:15" ht="13.5" customHeight="1">
      <c r="A58" s="6" t="s">
        <v>2268</v>
      </c>
      <c r="B58" s="205" t="s">
        <v>1625</v>
      </c>
      <c r="C58" s="6" t="s">
        <v>1626</v>
      </c>
      <c r="D58" s="6" t="s">
        <v>143</v>
      </c>
      <c r="E58" s="6">
        <v>0.25</v>
      </c>
      <c r="F58" s="6">
        <v>0</v>
      </c>
      <c r="G58" s="5">
        <v>0</v>
      </c>
      <c r="H58" s="5">
        <v>0</v>
      </c>
      <c r="I58" s="6">
        <v>0</v>
      </c>
      <c r="J58" s="6">
        <v>0</v>
      </c>
      <c r="K58" s="6">
        <v>0</v>
      </c>
      <c r="L58" s="6">
        <v>0</v>
      </c>
      <c r="M58" s="6">
        <v>34.46114285714286</v>
      </c>
      <c r="N58" s="6" t="e">
        <v>#N/A</v>
      </c>
      <c r="O58" s="6" t="e">
        <v>#N/A</v>
      </c>
    </row>
    <row r="59" spans="1:15" ht="13.5" customHeight="1">
      <c r="A59" s="6" t="s">
        <v>2272</v>
      </c>
      <c r="B59" s="11" t="s">
        <v>1625</v>
      </c>
      <c r="C59" s="6" t="s">
        <v>2222</v>
      </c>
      <c r="D59" s="6" t="s">
        <v>574</v>
      </c>
      <c r="E59" s="6">
        <v>4</v>
      </c>
      <c r="F59" s="6">
        <v>0</v>
      </c>
      <c r="G59" s="5">
        <v>0</v>
      </c>
      <c r="H59" s="5">
        <v>0</v>
      </c>
      <c r="I59" s="6">
        <v>0</v>
      </c>
      <c r="J59" s="6">
        <v>0</v>
      </c>
      <c r="K59" s="6">
        <v>0</v>
      </c>
      <c r="L59" s="6">
        <v>0</v>
      </c>
      <c r="M59" s="6">
        <v>59.428571428571438</v>
      </c>
      <c r="N59" s="6" t="e">
        <v>#N/A</v>
      </c>
      <c r="O59" s="6" t="e">
        <v>#N/A</v>
      </c>
    </row>
    <row r="60" spans="1:15" ht="13.5" customHeight="1">
      <c r="A60" s="6" t="s">
        <v>2272</v>
      </c>
      <c r="B60" s="11" t="s">
        <v>1625</v>
      </c>
      <c r="C60" s="6" t="s">
        <v>2223</v>
      </c>
      <c r="D60" s="6" t="s">
        <v>578</v>
      </c>
      <c r="E60" s="6">
        <v>4</v>
      </c>
      <c r="F60" s="6">
        <v>0</v>
      </c>
      <c r="G60" s="5">
        <v>0</v>
      </c>
      <c r="H60" s="5">
        <v>0</v>
      </c>
      <c r="I60" s="6">
        <v>0</v>
      </c>
      <c r="J60" s="6">
        <v>0</v>
      </c>
      <c r="K60" s="6">
        <v>0</v>
      </c>
      <c r="L60" s="6">
        <v>0</v>
      </c>
      <c r="M60" s="6">
        <v>57.142857142857146</v>
      </c>
      <c r="N60" s="6" t="e">
        <v>#N/A</v>
      </c>
      <c r="O60" s="6" t="e">
        <v>#N/A</v>
      </c>
    </row>
    <row r="61" spans="1:15" ht="13.5" customHeight="1">
      <c r="A61" s="6" t="s">
        <v>2272</v>
      </c>
      <c r="B61" s="11" t="s">
        <v>1625</v>
      </c>
      <c r="C61" s="6" t="s">
        <v>2224</v>
      </c>
      <c r="D61" s="6" t="s">
        <v>565</v>
      </c>
      <c r="E61" s="6">
        <v>4</v>
      </c>
      <c r="F61" s="6">
        <v>0</v>
      </c>
      <c r="G61" s="5">
        <v>0</v>
      </c>
      <c r="H61" s="5">
        <v>0</v>
      </c>
      <c r="I61" s="6">
        <v>0</v>
      </c>
      <c r="J61" s="6">
        <v>0</v>
      </c>
      <c r="K61" s="6">
        <v>0</v>
      </c>
      <c r="L61" s="6">
        <v>0</v>
      </c>
      <c r="M61" s="6">
        <v>20.571428571428573</v>
      </c>
      <c r="N61" s="6" t="e">
        <v>#N/A</v>
      </c>
      <c r="O61" s="6" t="e">
        <v>#N/A</v>
      </c>
    </row>
    <row r="62" spans="1:15" ht="13.5" customHeight="1">
      <c r="A62" s="6" t="s">
        <v>2272</v>
      </c>
      <c r="B62" s="11" t="s">
        <v>1625</v>
      </c>
      <c r="C62" s="6" t="s">
        <v>647</v>
      </c>
      <c r="D62" s="6" t="s">
        <v>646</v>
      </c>
      <c r="E62" s="6">
        <v>2</v>
      </c>
      <c r="F62" s="6">
        <v>0</v>
      </c>
      <c r="G62" s="5">
        <v>0</v>
      </c>
      <c r="H62" s="5">
        <v>0</v>
      </c>
      <c r="I62" s="6">
        <v>0</v>
      </c>
      <c r="J62" s="6">
        <v>0</v>
      </c>
      <c r="K62" s="6">
        <v>0</v>
      </c>
      <c r="L62" s="6">
        <v>0</v>
      </c>
      <c r="M62" s="6">
        <v>74.857142857142861</v>
      </c>
      <c r="N62" s="6" t="e">
        <v>#N/A</v>
      </c>
      <c r="O62" s="6" t="e">
        <v>#N/A</v>
      </c>
    </row>
    <row r="63" spans="1:15" ht="13.5" customHeight="1">
      <c r="A63" s="6" t="s">
        <v>2272</v>
      </c>
      <c r="B63" s="11" t="s">
        <v>1625</v>
      </c>
      <c r="C63" s="6" t="s">
        <v>593</v>
      </c>
      <c r="D63" s="6" t="s">
        <v>592</v>
      </c>
      <c r="E63" s="6">
        <v>2</v>
      </c>
      <c r="F63" s="6">
        <v>0</v>
      </c>
      <c r="G63" s="5">
        <v>0</v>
      </c>
      <c r="H63" s="5">
        <v>0</v>
      </c>
      <c r="I63" s="6">
        <v>0</v>
      </c>
      <c r="J63" s="6">
        <v>0</v>
      </c>
      <c r="K63" s="6">
        <v>0</v>
      </c>
      <c r="L63" s="6">
        <v>0</v>
      </c>
      <c r="M63" s="6">
        <v>10.984142857142858</v>
      </c>
      <c r="N63" s="6" t="e">
        <v>#N/A</v>
      </c>
      <c r="O63" s="6" t="e">
        <v>#N/A</v>
      </c>
    </row>
    <row r="64" spans="1:15" ht="13.5" customHeight="1">
      <c r="A64" s="6" t="s">
        <v>2272</v>
      </c>
      <c r="B64" s="11" t="s">
        <v>1625</v>
      </c>
      <c r="C64" s="6" t="s">
        <v>2225</v>
      </c>
      <c r="D64" s="6" t="s">
        <v>568</v>
      </c>
      <c r="E64" s="6">
        <v>4</v>
      </c>
      <c r="F64" s="6">
        <v>0</v>
      </c>
      <c r="G64" s="5">
        <v>0</v>
      </c>
      <c r="H64" s="5">
        <v>0</v>
      </c>
      <c r="I64" s="6">
        <v>0</v>
      </c>
      <c r="J64" s="6">
        <v>0</v>
      </c>
      <c r="K64" s="6">
        <v>0</v>
      </c>
      <c r="L64" s="6">
        <v>0</v>
      </c>
      <c r="M64" s="6">
        <v>24.000000000000004</v>
      </c>
      <c r="N64" s="6" t="e">
        <v>#N/A</v>
      </c>
      <c r="O64" s="6" t="e">
        <v>#N/A</v>
      </c>
    </row>
    <row r="65" spans="1:15" ht="13.5" customHeight="1">
      <c r="A65" s="6" t="s">
        <v>2272</v>
      </c>
      <c r="B65" s="11" t="s">
        <v>1625</v>
      </c>
      <c r="C65" s="6" t="s">
        <v>340</v>
      </c>
      <c r="D65" s="6" t="s">
        <v>339</v>
      </c>
      <c r="E65" s="6">
        <v>2</v>
      </c>
      <c r="F65" s="6">
        <v>0</v>
      </c>
      <c r="G65" s="5">
        <v>0</v>
      </c>
      <c r="H65" s="5">
        <v>0</v>
      </c>
      <c r="I65" s="6">
        <v>0</v>
      </c>
      <c r="J65" s="6">
        <v>0</v>
      </c>
      <c r="K65" s="6">
        <v>0</v>
      </c>
      <c r="L65" s="6">
        <v>0</v>
      </c>
      <c r="M65" s="6">
        <v>18.095285714285716</v>
      </c>
      <c r="N65" s="6" t="e">
        <v>#N/A</v>
      </c>
      <c r="O65" s="6" t="e">
        <v>#N/A</v>
      </c>
    </row>
    <row r="66" spans="1:15" ht="13.5" customHeight="1">
      <c r="A66" s="6" t="s">
        <v>2272</v>
      </c>
      <c r="B66" s="11" t="s">
        <v>1625</v>
      </c>
      <c r="C66" s="6" t="s">
        <v>337</v>
      </c>
      <c r="D66" s="6" t="s">
        <v>148</v>
      </c>
      <c r="E66" s="6">
        <v>2</v>
      </c>
      <c r="F66" s="6">
        <v>0</v>
      </c>
      <c r="G66" s="5">
        <v>0</v>
      </c>
      <c r="H66" s="5">
        <v>0</v>
      </c>
      <c r="I66" s="6">
        <v>0</v>
      </c>
      <c r="J66" s="6">
        <v>0</v>
      </c>
      <c r="K66" s="6">
        <v>0</v>
      </c>
      <c r="L66" s="6">
        <v>0</v>
      </c>
      <c r="M66" s="6">
        <v>18.095285714285716</v>
      </c>
      <c r="N66" s="6" t="e">
        <v>#N/A</v>
      </c>
      <c r="O66" s="6" t="e">
        <v>#N/A</v>
      </c>
    </row>
    <row r="67" spans="1:15" ht="13.5" customHeight="1">
      <c r="A67" s="6" t="s">
        <v>2272</v>
      </c>
      <c r="B67" s="11" t="s">
        <v>1625</v>
      </c>
      <c r="C67" s="6" t="s">
        <v>2226</v>
      </c>
      <c r="D67" s="6" t="s">
        <v>570</v>
      </c>
      <c r="E67" s="6">
        <v>4</v>
      </c>
      <c r="F67" s="6">
        <v>0</v>
      </c>
      <c r="G67" s="5">
        <v>0</v>
      </c>
      <c r="H67" s="5">
        <v>0</v>
      </c>
      <c r="I67" s="6">
        <v>0</v>
      </c>
      <c r="J67" s="6">
        <v>0</v>
      </c>
      <c r="K67" s="6">
        <v>0</v>
      </c>
      <c r="L67" s="6">
        <v>0</v>
      </c>
      <c r="M67" s="6">
        <v>9.1428571428571441</v>
      </c>
      <c r="N67" s="6" t="e">
        <v>#N/A</v>
      </c>
      <c r="O67" s="6" t="e">
        <v>#N/A</v>
      </c>
    </row>
    <row r="68" spans="1:15" ht="13.5" customHeight="1">
      <c r="A68" s="6" t="s">
        <v>2272</v>
      </c>
      <c r="B68" s="11" t="s">
        <v>1625</v>
      </c>
      <c r="C68" s="6" t="s">
        <v>2227</v>
      </c>
      <c r="D68" s="6" t="s">
        <v>572</v>
      </c>
      <c r="E68" s="6">
        <v>1</v>
      </c>
      <c r="F68" s="6">
        <v>0</v>
      </c>
      <c r="G68" s="5">
        <v>0</v>
      </c>
      <c r="H68" s="5">
        <v>0</v>
      </c>
      <c r="I68" s="6">
        <v>0</v>
      </c>
      <c r="J68" s="6">
        <v>0</v>
      </c>
      <c r="K68" s="6">
        <v>0</v>
      </c>
      <c r="L68" s="6">
        <v>0</v>
      </c>
      <c r="M68" s="6">
        <v>1.4285714285714286</v>
      </c>
      <c r="N68" s="6" t="e">
        <v>#N/A</v>
      </c>
      <c r="O68" s="6" t="e">
        <v>#N/A</v>
      </c>
    </row>
    <row r="69" spans="1:15" ht="13.5" customHeight="1">
      <c r="A69" s="6" t="s">
        <v>2272</v>
      </c>
      <c r="B69" s="11" t="s">
        <v>1625</v>
      </c>
      <c r="C69" s="6" t="s">
        <v>577</v>
      </c>
      <c r="D69" s="6" t="s">
        <v>762</v>
      </c>
      <c r="E69" s="6">
        <v>4</v>
      </c>
      <c r="F69" s="6">
        <v>0</v>
      </c>
      <c r="G69" s="5">
        <v>0</v>
      </c>
      <c r="H69" s="5">
        <v>0</v>
      </c>
      <c r="I69" s="6">
        <v>0</v>
      </c>
      <c r="J69" s="6">
        <v>0</v>
      </c>
      <c r="K69" s="6">
        <v>0</v>
      </c>
      <c r="L69" s="6">
        <v>0</v>
      </c>
      <c r="M69" s="6">
        <v>78.285714285714292</v>
      </c>
      <c r="N69" s="6" t="e">
        <v>#N/A</v>
      </c>
      <c r="O69" s="6" t="e">
        <v>#N/A</v>
      </c>
    </row>
    <row r="70" spans="1:15" ht="13.5" customHeight="1">
      <c r="A70" s="6" t="s">
        <v>2272</v>
      </c>
      <c r="B70" s="11" t="s">
        <v>1625</v>
      </c>
      <c r="C70" s="6" t="s">
        <v>764</v>
      </c>
      <c r="D70" s="6" t="s">
        <v>763</v>
      </c>
      <c r="E70" s="6">
        <v>4</v>
      </c>
      <c r="F70" s="6">
        <v>0</v>
      </c>
      <c r="G70" s="5">
        <v>0</v>
      </c>
      <c r="H70" s="5">
        <v>0</v>
      </c>
      <c r="I70" s="6">
        <v>0</v>
      </c>
      <c r="J70" s="6">
        <v>0</v>
      </c>
      <c r="K70" s="6">
        <v>0</v>
      </c>
      <c r="L70" s="6">
        <v>0</v>
      </c>
      <c r="M70" s="6">
        <v>12.571428571428573</v>
      </c>
      <c r="N70" s="6" t="e">
        <v>#N/A</v>
      </c>
      <c r="O70" s="6" t="e">
        <v>#N/A</v>
      </c>
    </row>
    <row r="71" spans="1:15" ht="13.5" customHeight="1">
      <c r="A71" s="6" t="s">
        <v>2272</v>
      </c>
      <c r="B71" s="11" t="s">
        <v>1625</v>
      </c>
      <c r="C71" s="6" t="s">
        <v>2228</v>
      </c>
      <c r="D71" s="6" t="s">
        <v>343</v>
      </c>
      <c r="E71" s="6">
        <v>8</v>
      </c>
      <c r="F71" s="6">
        <v>0</v>
      </c>
      <c r="G71" s="5">
        <v>0</v>
      </c>
      <c r="H71" s="5">
        <v>0</v>
      </c>
      <c r="I71" s="6">
        <v>0</v>
      </c>
      <c r="J71" s="6">
        <v>0</v>
      </c>
      <c r="K71" s="6">
        <v>0</v>
      </c>
      <c r="L71" s="6">
        <v>0</v>
      </c>
      <c r="M71" s="6">
        <v>53.333285714285722</v>
      </c>
      <c r="N71" s="6" t="e">
        <v>#N/A</v>
      </c>
      <c r="O71" s="6" t="e">
        <v>#N/A</v>
      </c>
    </row>
    <row r="72" spans="1:15" ht="13.5" customHeight="1">
      <c r="A72" s="6" t="s">
        <v>2272</v>
      </c>
      <c r="B72" s="11" t="s">
        <v>1625</v>
      </c>
      <c r="C72" s="6" t="s">
        <v>2229</v>
      </c>
      <c r="D72" s="6" t="s">
        <v>765</v>
      </c>
      <c r="E72" s="6">
        <v>4</v>
      </c>
      <c r="F72" s="6">
        <v>0</v>
      </c>
      <c r="G72" s="5">
        <v>0</v>
      </c>
      <c r="H72" s="5">
        <v>0</v>
      </c>
      <c r="I72" s="6">
        <v>0</v>
      </c>
      <c r="J72" s="6">
        <v>0</v>
      </c>
      <c r="K72" s="6">
        <v>0</v>
      </c>
      <c r="L72" s="6">
        <v>0</v>
      </c>
      <c r="M72" s="6">
        <v>13.904714285714286</v>
      </c>
      <c r="N72" s="6" t="e">
        <v>#N/A</v>
      </c>
      <c r="O72" s="6" t="e">
        <v>#N/A</v>
      </c>
    </row>
    <row r="73" spans="1:15" ht="13.5" customHeight="1">
      <c r="A73" s="6" t="s">
        <v>2272</v>
      </c>
      <c r="B73" s="11" t="s">
        <v>1625</v>
      </c>
      <c r="C73" s="6" t="s">
        <v>2230</v>
      </c>
      <c r="D73" s="6" t="s">
        <v>767</v>
      </c>
      <c r="E73" s="6">
        <v>4</v>
      </c>
      <c r="F73" s="6">
        <v>0</v>
      </c>
      <c r="G73" s="5">
        <v>0</v>
      </c>
      <c r="H73" s="5">
        <v>0</v>
      </c>
      <c r="I73" s="6">
        <v>0</v>
      </c>
      <c r="J73" s="6">
        <v>0</v>
      </c>
      <c r="K73" s="6">
        <v>0</v>
      </c>
      <c r="L73" s="6">
        <v>0</v>
      </c>
      <c r="M73" s="6">
        <v>3.6825714285714288</v>
      </c>
      <c r="N73" s="6" t="e">
        <v>#N/A</v>
      </c>
      <c r="O73" s="6" t="e">
        <v>#N/A</v>
      </c>
    </row>
    <row r="74" spans="1:15" ht="13.5" customHeight="1">
      <c r="A74" s="6" t="s">
        <v>2272</v>
      </c>
      <c r="B74" s="11" t="s">
        <v>1625</v>
      </c>
      <c r="C74" s="6" t="s">
        <v>2231</v>
      </c>
      <c r="D74" s="6" t="s">
        <v>650</v>
      </c>
      <c r="E74" s="6">
        <v>4</v>
      </c>
      <c r="F74" s="6">
        <v>0</v>
      </c>
      <c r="G74" s="5">
        <v>0</v>
      </c>
      <c r="H74" s="5">
        <v>0</v>
      </c>
      <c r="I74" s="6">
        <v>0</v>
      </c>
      <c r="J74" s="6">
        <v>0</v>
      </c>
      <c r="K74" s="6">
        <v>0</v>
      </c>
      <c r="L74" s="6">
        <v>0</v>
      </c>
      <c r="M74" s="6">
        <v>3.7142857142857149</v>
      </c>
      <c r="N74" s="6" t="e">
        <v>#N/A</v>
      </c>
      <c r="O74" s="6" t="e">
        <v>#N/A</v>
      </c>
    </row>
    <row r="75" spans="1:15" ht="13.5" customHeight="1">
      <c r="A75" s="6" t="s">
        <v>2272</v>
      </c>
      <c r="B75" s="11" t="s">
        <v>1625</v>
      </c>
      <c r="C75" s="6" t="s">
        <v>414</v>
      </c>
      <c r="D75" s="6" t="s">
        <v>413</v>
      </c>
      <c r="E75" s="6">
        <v>2</v>
      </c>
      <c r="F75" s="6">
        <v>0</v>
      </c>
      <c r="G75" s="5">
        <v>0</v>
      </c>
      <c r="H75" s="5">
        <v>0</v>
      </c>
      <c r="I75" s="6">
        <v>0</v>
      </c>
      <c r="J75" s="6">
        <v>0</v>
      </c>
      <c r="K75" s="6">
        <v>0</v>
      </c>
      <c r="L75" s="6">
        <v>0</v>
      </c>
      <c r="M75" s="6">
        <v>31</v>
      </c>
      <c r="N75" s="6" t="e">
        <v>#N/A</v>
      </c>
      <c r="O75" s="6" t="e">
        <v>#N/A</v>
      </c>
    </row>
    <row r="76" spans="1:15" ht="13.5" customHeight="1">
      <c r="A76" s="6" t="s">
        <v>2272</v>
      </c>
      <c r="B76" s="11" t="s">
        <v>1625</v>
      </c>
      <c r="C76" s="6" t="s">
        <v>2232</v>
      </c>
      <c r="D76" s="6" t="s">
        <v>584</v>
      </c>
      <c r="E76" s="6">
        <v>1</v>
      </c>
      <c r="F76" s="6">
        <v>0</v>
      </c>
      <c r="G76" s="5">
        <v>0</v>
      </c>
      <c r="H76" s="5">
        <v>0</v>
      </c>
      <c r="I76" s="6">
        <v>0</v>
      </c>
      <c r="J76" s="6">
        <v>0</v>
      </c>
      <c r="K76" s="6">
        <v>0</v>
      </c>
      <c r="L76" s="6">
        <v>0</v>
      </c>
      <c r="M76" s="6">
        <v>5.1428571428571432</v>
      </c>
      <c r="N76" s="6" t="e">
        <v>#N/A</v>
      </c>
      <c r="O76" s="6" t="e">
        <v>#N/A</v>
      </c>
    </row>
    <row r="77" spans="1:15" ht="13.5" customHeight="1">
      <c r="A77" s="6" t="s">
        <v>2272</v>
      </c>
      <c r="B77" s="11" t="s">
        <v>1625</v>
      </c>
      <c r="C77" s="6" t="s">
        <v>2233</v>
      </c>
      <c r="D77" s="6" t="s">
        <v>535</v>
      </c>
      <c r="E77" s="6">
        <v>1</v>
      </c>
      <c r="F77" s="6">
        <v>0</v>
      </c>
      <c r="G77" s="5">
        <v>0</v>
      </c>
      <c r="H77" s="5">
        <v>0</v>
      </c>
      <c r="I77" s="6">
        <v>0</v>
      </c>
      <c r="J77" s="6">
        <v>0</v>
      </c>
      <c r="K77" s="6">
        <v>0</v>
      </c>
      <c r="L77" s="6">
        <v>0</v>
      </c>
      <c r="M77" s="6">
        <v>11.309571428571429</v>
      </c>
      <c r="N77" s="6" t="e">
        <v>#N/A</v>
      </c>
      <c r="O77" s="6" t="e">
        <v>#N/A</v>
      </c>
    </row>
    <row r="78" spans="1:15" ht="13.5" customHeight="1">
      <c r="A78" s="6" t="s">
        <v>2272</v>
      </c>
      <c r="B78" s="11" t="s">
        <v>1625</v>
      </c>
      <c r="C78" s="6" t="s">
        <v>2234</v>
      </c>
      <c r="D78" s="6" t="s">
        <v>586</v>
      </c>
      <c r="E78" s="6">
        <v>1</v>
      </c>
      <c r="F78" s="6">
        <v>0</v>
      </c>
      <c r="G78" s="5">
        <v>0</v>
      </c>
      <c r="H78" s="5">
        <v>0</v>
      </c>
      <c r="I78" s="6">
        <v>0</v>
      </c>
      <c r="J78" s="6">
        <v>0</v>
      </c>
      <c r="K78" s="6">
        <v>0</v>
      </c>
      <c r="L78" s="6">
        <v>0</v>
      </c>
      <c r="M78" s="6">
        <v>13.428571428571431</v>
      </c>
      <c r="N78" s="6" t="e">
        <v>#N/A</v>
      </c>
      <c r="O78" s="6" t="e">
        <v>#N/A</v>
      </c>
    </row>
    <row r="79" spans="1:15" ht="13.5" customHeight="1">
      <c r="A79" s="6" t="s">
        <v>2272</v>
      </c>
      <c r="B79" s="11" t="s">
        <v>1625</v>
      </c>
      <c r="C79" s="6" t="s">
        <v>2235</v>
      </c>
      <c r="D79" s="6" t="s">
        <v>2236</v>
      </c>
      <c r="E79" s="6">
        <v>2</v>
      </c>
      <c r="F79" s="6">
        <v>0</v>
      </c>
      <c r="G79" s="5">
        <v>0.01</v>
      </c>
      <c r="H79" s="5">
        <v>0.1</v>
      </c>
      <c r="I79" s="6">
        <v>0</v>
      </c>
      <c r="J79" s="6">
        <v>0</v>
      </c>
      <c r="K79" s="6" t="s">
        <v>367</v>
      </c>
      <c r="L79" s="6">
        <v>1942</v>
      </c>
      <c r="M79" s="6">
        <v>154.27328571428572</v>
      </c>
      <c r="N79" s="6" t="e">
        <v>#N/A</v>
      </c>
      <c r="O79" s="6" t="e">
        <v>#N/A</v>
      </c>
    </row>
    <row r="80" spans="1:15" ht="13.5" customHeight="1">
      <c r="A80" s="6" t="s">
        <v>2272</v>
      </c>
      <c r="B80" s="11" t="s">
        <v>1625</v>
      </c>
      <c r="C80" s="6" t="s">
        <v>2237</v>
      </c>
      <c r="D80" s="6" t="s">
        <v>2238</v>
      </c>
      <c r="E80" s="6">
        <v>2</v>
      </c>
      <c r="F80" s="6">
        <v>0</v>
      </c>
      <c r="G80" s="5">
        <v>0.01</v>
      </c>
      <c r="H80" s="5">
        <v>0.1</v>
      </c>
      <c r="I80" s="6">
        <v>0</v>
      </c>
      <c r="J80" s="6">
        <v>0</v>
      </c>
      <c r="K80" s="6" t="s">
        <v>363</v>
      </c>
      <c r="L80" s="6">
        <v>413</v>
      </c>
      <c r="M80" s="6">
        <v>104.86385714285716</v>
      </c>
      <c r="N80" s="6" t="e">
        <v>#N/A</v>
      </c>
      <c r="O80" s="6" t="e">
        <v>#N/A</v>
      </c>
    </row>
    <row r="81" spans="1:15" ht="13.5" customHeight="1">
      <c r="A81" s="6" t="s">
        <v>2272</v>
      </c>
      <c r="B81" s="11" t="s">
        <v>1625</v>
      </c>
      <c r="C81" s="6" t="s">
        <v>2239</v>
      </c>
      <c r="D81" s="6" t="s">
        <v>2240</v>
      </c>
      <c r="E81" s="6">
        <v>2</v>
      </c>
      <c r="F81" s="6">
        <v>0</v>
      </c>
      <c r="G81" s="5">
        <v>0.01</v>
      </c>
      <c r="H81" s="5">
        <v>0.1</v>
      </c>
      <c r="I81" s="6">
        <v>0</v>
      </c>
      <c r="J81" s="6">
        <v>0</v>
      </c>
      <c r="K81" s="6" t="s">
        <v>363</v>
      </c>
      <c r="L81" s="6">
        <v>1413</v>
      </c>
      <c r="M81" s="6">
        <v>282.67342857142859</v>
      </c>
      <c r="N81" s="6" t="e">
        <v>#N/A</v>
      </c>
      <c r="O81" s="6" t="e">
        <v>#N/A</v>
      </c>
    </row>
    <row r="82" spans="1:15" ht="13.5" customHeight="1">
      <c r="A82" s="6" t="s">
        <v>2272</v>
      </c>
      <c r="B82" s="11" t="s">
        <v>1625</v>
      </c>
      <c r="C82" s="6" t="s">
        <v>2241</v>
      </c>
      <c r="D82" s="6" t="s">
        <v>2242</v>
      </c>
      <c r="E82" s="6">
        <v>1</v>
      </c>
      <c r="F82" s="6">
        <v>0</v>
      </c>
      <c r="G82" s="5">
        <v>0.01</v>
      </c>
      <c r="H82" s="5">
        <v>0.1</v>
      </c>
      <c r="I82" s="6">
        <v>0</v>
      </c>
      <c r="J82" s="6">
        <v>0</v>
      </c>
      <c r="K82" s="6" t="s">
        <v>531</v>
      </c>
      <c r="L82" s="6">
        <v>346</v>
      </c>
      <c r="M82" s="6">
        <v>55.482571428571433</v>
      </c>
      <c r="N82" s="6" t="e">
        <v>#N/A</v>
      </c>
      <c r="O82" s="6" t="e">
        <v>#N/A</v>
      </c>
    </row>
    <row r="83" spans="1:15" ht="13.5" customHeight="1">
      <c r="A83" s="6" t="s">
        <v>2272</v>
      </c>
      <c r="B83" s="11" t="s">
        <v>1625</v>
      </c>
      <c r="C83" s="6" t="s">
        <v>2243</v>
      </c>
      <c r="D83" s="6" t="s">
        <v>2244</v>
      </c>
      <c r="E83" s="6">
        <v>2</v>
      </c>
      <c r="F83" s="6">
        <v>0</v>
      </c>
      <c r="G83" s="5">
        <v>0.01</v>
      </c>
      <c r="H83" s="5">
        <v>0.1</v>
      </c>
      <c r="I83" s="6">
        <v>0</v>
      </c>
      <c r="J83" s="6">
        <v>0</v>
      </c>
      <c r="K83" s="6" t="s">
        <v>1733</v>
      </c>
      <c r="L83" s="6">
        <v>164</v>
      </c>
      <c r="M83" s="6">
        <v>54.473857142857149</v>
      </c>
      <c r="N83" s="6" t="e">
        <v>#N/A</v>
      </c>
      <c r="O83" s="6" t="e">
        <v>#N/A</v>
      </c>
    </row>
    <row r="84" spans="1:15" ht="13.5" customHeight="1">
      <c r="A84" s="6" t="s">
        <v>2272</v>
      </c>
      <c r="B84" s="11" t="s">
        <v>1625</v>
      </c>
      <c r="C84" s="6" t="s">
        <v>2245</v>
      </c>
      <c r="D84" s="6" t="s">
        <v>2246</v>
      </c>
      <c r="E84" s="6">
        <v>1</v>
      </c>
      <c r="F84" s="6">
        <v>0</v>
      </c>
      <c r="G84" s="5">
        <v>0.01</v>
      </c>
      <c r="H84" s="5">
        <v>0.1</v>
      </c>
      <c r="I84" s="6">
        <v>0</v>
      </c>
      <c r="J84" s="6">
        <v>0</v>
      </c>
      <c r="K84" s="6" t="s">
        <v>539</v>
      </c>
      <c r="L84" s="6">
        <v>147</v>
      </c>
      <c r="M84" s="6">
        <v>14.676428571428573</v>
      </c>
      <c r="N84" s="6" t="e">
        <v>#N/A</v>
      </c>
      <c r="O84" s="6" t="e">
        <v>#N/A</v>
      </c>
    </row>
    <row r="85" spans="1:15" ht="13.5" customHeight="1">
      <c r="A85" s="6" t="s">
        <v>2272</v>
      </c>
      <c r="B85" s="11" t="s">
        <v>1625</v>
      </c>
      <c r="C85" s="6" t="s">
        <v>2247</v>
      </c>
      <c r="D85" s="6" t="s">
        <v>2248</v>
      </c>
      <c r="E85" s="6">
        <v>1</v>
      </c>
      <c r="F85" s="6">
        <v>0</v>
      </c>
      <c r="G85" s="5">
        <v>0.01</v>
      </c>
      <c r="H85" s="5">
        <v>0.1</v>
      </c>
      <c r="I85" s="6">
        <v>0</v>
      </c>
      <c r="J85" s="6">
        <v>0</v>
      </c>
      <c r="K85" s="6" t="s">
        <v>539</v>
      </c>
      <c r="L85" s="6">
        <v>50</v>
      </c>
      <c r="M85" s="6">
        <v>13.139285714285714</v>
      </c>
      <c r="N85" s="6" t="e">
        <v>#N/A</v>
      </c>
      <c r="O85" s="6" t="e">
        <v>#N/A</v>
      </c>
    </row>
    <row r="86" spans="1:15" ht="13.5" customHeight="1">
      <c r="A86" s="6" t="s">
        <v>2272</v>
      </c>
      <c r="B86" s="11" t="s">
        <v>1625</v>
      </c>
      <c r="C86" s="6" t="s">
        <v>2249</v>
      </c>
      <c r="D86" s="6" t="s">
        <v>2250</v>
      </c>
      <c r="E86" s="6">
        <v>3</v>
      </c>
      <c r="F86" s="6">
        <v>0</v>
      </c>
      <c r="G86" s="5">
        <v>0.01</v>
      </c>
      <c r="H86" s="5">
        <v>0.1</v>
      </c>
      <c r="I86" s="6">
        <v>0</v>
      </c>
      <c r="J86" s="6">
        <v>0</v>
      </c>
      <c r="K86" s="6" t="s">
        <v>529</v>
      </c>
      <c r="L86" s="6">
        <v>166</v>
      </c>
      <c r="M86" s="6">
        <v>28.850714285714286</v>
      </c>
      <c r="N86" s="6" t="e">
        <v>#N/A</v>
      </c>
      <c r="O86" s="6" t="e">
        <v>#N/A</v>
      </c>
    </row>
    <row r="87" spans="1:15" ht="13.5" customHeight="1">
      <c r="A87" s="6" t="s">
        <v>2272</v>
      </c>
      <c r="B87" s="11" t="s">
        <v>1625</v>
      </c>
      <c r="C87" s="6" t="s">
        <v>2251</v>
      </c>
      <c r="D87" s="6" t="s">
        <v>2252</v>
      </c>
      <c r="E87" s="6">
        <v>3</v>
      </c>
      <c r="F87" s="6" t="s">
        <v>2253</v>
      </c>
      <c r="G87" s="5">
        <v>0.38</v>
      </c>
      <c r="H87" s="5">
        <v>0</v>
      </c>
      <c r="I87" s="6">
        <v>0</v>
      </c>
      <c r="J87" s="6">
        <v>0</v>
      </c>
      <c r="K87" s="6" t="s">
        <v>409</v>
      </c>
      <c r="L87" s="6">
        <v>4190</v>
      </c>
      <c r="M87" s="6">
        <v>778.35528571428574</v>
      </c>
      <c r="N87" s="6" t="e">
        <v>#N/A</v>
      </c>
      <c r="O87" s="6" t="e">
        <v>#N/A</v>
      </c>
    </row>
    <row r="88" spans="1:15" ht="13.5" customHeight="1">
      <c r="A88" s="6" t="s">
        <v>2272</v>
      </c>
      <c r="B88" s="11" t="s">
        <v>1625</v>
      </c>
      <c r="C88" s="6" t="s">
        <v>2254</v>
      </c>
      <c r="D88" s="6" t="s">
        <v>345</v>
      </c>
      <c r="E88" s="6">
        <v>16</v>
      </c>
      <c r="F88" s="6">
        <v>0</v>
      </c>
      <c r="G88" s="5">
        <v>0</v>
      </c>
      <c r="H88" s="5">
        <v>0</v>
      </c>
      <c r="I88" s="6">
        <v>0</v>
      </c>
      <c r="J88" s="6">
        <v>0</v>
      </c>
      <c r="K88" s="6">
        <v>0</v>
      </c>
      <c r="L88" s="6">
        <v>0</v>
      </c>
      <c r="M88" s="6">
        <v>43.174571428571433</v>
      </c>
      <c r="N88" s="6" t="e">
        <v>#N/A</v>
      </c>
      <c r="O88" s="6" t="e">
        <v>#N/A</v>
      </c>
    </row>
    <row r="89" spans="1:15" ht="13.5" customHeight="1">
      <c r="A89" s="6" t="s">
        <v>2272</v>
      </c>
      <c r="B89" s="11" t="s">
        <v>1625</v>
      </c>
      <c r="C89" s="6" t="s">
        <v>2255</v>
      </c>
      <c r="D89" s="6" t="s">
        <v>348</v>
      </c>
      <c r="E89" s="6">
        <v>4</v>
      </c>
      <c r="F89" s="6">
        <v>0</v>
      </c>
      <c r="G89" s="5">
        <v>0</v>
      </c>
      <c r="H89" s="5">
        <v>0</v>
      </c>
      <c r="I89" s="6">
        <v>0</v>
      </c>
      <c r="J89" s="6">
        <v>0</v>
      </c>
      <c r="K89" s="6">
        <v>0</v>
      </c>
      <c r="L89" s="6">
        <v>0</v>
      </c>
      <c r="M89" s="6">
        <v>23.492000000000004</v>
      </c>
      <c r="N89" s="6" t="e">
        <v>#N/A</v>
      </c>
      <c r="O89" s="6" t="e">
        <v>#N/A</v>
      </c>
    </row>
    <row r="90" spans="1:15" ht="13.5" customHeight="1">
      <c r="A90" s="6" t="s">
        <v>2272</v>
      </c>
      <c r="B90" s="11" t="s">
        <v>1625</v>
      </c>
      <c r="C90" s="6" t="s">
        <v>351</v>
      </c>
      <c r="D90" s="6" t="s">
        <v>350</v>
      </c>
      <c r="E90" s="6">
        <v>8</v>
      </c>
      <c r="F90" s="6">
        <v>0</v>
      </c>
      <c r="G90" s="5">
        <v>0</v>
      </c>
      <c r="H90" s="5">
        <v>0</v>
      </c>
      <c r="I90" s="6">
        <v>0</v>
      </c>
      <c r="J90" s="6">
        <v>0</v>
      </c>
      <c r="K90" s="6">
        <v>0</v>
      </c>
      <c r="L90" s="6">
        <v>0</v>
      </c>
      <c r="M90" s="6">
        <v>57.523857142857146</v>
      </c>
      <c r="N90" s="6" t="e">
        <v>#N/A</v>
      </c>
      <c r="O90" s="6" t="e">
        <v>#N/A</v>
      </c>
    </row>
    <row r="91" spans="1:15" ht="13.5" customHeight="1">
      <c r="A91" s="6" t="s">
        <v>2272</v>
      </c>
      <c r="B91" s="11" t="s">
        <v>1625</v>
      </c>
      <c r="C91" s="6" t="s">
        <v>823</v>
      </c>
      <c r="D91" s="6" t="s">
        <v>822</v>
      </c>
      <c r="E91" s="6">
        <v>6</v>
      </c>
      <c r="F91" s="6">
        <v>0</v>
      </c>
      <c r="G91" s="5">
        <v>0</v>
      </c>
      <c r="H91" s="5">
        <v>0</v>
      </c>
      <c r="I91" s="6">
        <v>0</v>
      </c>
      <c r="J91" s="6">
        <v>0</v>
      </c>
      <c r="K91" s="6">
        <v>0</v>
      </c>
      <c r="L91" s="6">
        <v>0</v>
      </c>
      <c r="M91" s="6">
        <v>77.285714285714292</v>
      </c>
      <c r="N91" s="6" t="e">
        <v>#N/A</v>
      </c>
      <c r="O91" s="6" t="e">
        <v>#N/A</v>
      </c>
    </row>
    <row r="92" spans="1:15" ht="13.5" customHeight="1">
      <c r="A92" s="6" t="s">
        <v>2272</v>
      </c>
      <c r="B92" s="11" t="s">
        <v>1625</v>
      </c>
      <c r="C92" s="6" t="s">
        <v>2256</v>
      </c>
      <c r="D92" s="6" t="s">
        <v>1377</v>
      </c>
      <c r="E92" s="6">
        <v>1</v>
      </c>
      <c r="F92" s="6">
        <v>0</v>
      </c>
      <c r="G92" s="5">
        <v>0</v>
      </c>
      <c r="H92" s="5">
        <v>0</v>
      </c>
      <c r="I92" s="6">
        <v>0</v>
      </c>
      <c r="J92" s="6">
        <v>0</v>
      </c>
      <c r="K92" s="6">
        <v>0</v>
      </c>
      <c r="L92" s="6">
        <v>0</v>
      </c>
      <c r="M92" s="6">
        <v>275.96828571428574</v>
      </c>
      <c r="N92" s="6" t="e">
        <v>#N/A</v>
      </c>
      <c r="O92" s="6" t="e">
        <v>#N/A</v>
      </c>
    </row>
    <row r="93" spans="1:15" ht="13.5" customHeight="1">
      <c r="A93" s="6" t="s">
        <v>2272</v>
      </c>
      <c r="B93" s="11" t="s">
        <v>1625</v>
      </c>
      <c r="C93" s="6" t="s">
        <v>2257</v>
      </c>
      <c r="D93" s="6" t="s">
        <v>2258</v>
      </c>
      <c r="E93" s="6">
        <v>1</v>
      </c>
      <c r="F93" s="6">
        <v>0</v>
      </c>
      <c r="G93" s="5">
        <v>0.01</v>
      </c>
      <c r="H93" s="5">
        <v>0.1</v>
      </c>
      <c r="I93" s="6">
        <v>0</v>
      </c>
      <c r="J93" s="6">
        <v>0</v>
      </c>
      <c r="K93" s="6" t="s">
        <v>533</v>
      </c>
      <c r="L93" s="6">
        <v>33</v>
      </c>
      <c r="M93" s="6">
        <v>13.507285714285715</v>
      </c>
      <c r="N93" s="6" t="e">
        <v>#N/A</v>
      </c>
      <c r="O93" s="6" t="e">
        <v>#N/A</v>
      </c>
    </row>
    <row r="94" spans="1:15" ht="13.5" customHeight="1">
      <c r="A94" s="6" t="s">
        <v>2272</v>
      </c>
      <c r="B94" s="11" t="s">
        <v>1625</v>
      </c>
      <c r="C94" s="6" t="s">
        <v>926</v>
      </c>
      <c r="D94" s="6" t="s">
        <v>925</v>
      </c>
      <c r="E94" s="6">
        <v>2</v>
      </c>
      <c r="F94" s="6">
        <v>0</v>
      </c>
      <c r="G94" s="5">
        <v>0</v>
      </c>
      <c r="H94" s="5">
        <v>0</v>
      </c>
      <c r="I94" s="6">
        <v>0</v>
      </c>
      <c r="J94" s="6">
        <v>0</v>
      </c>
      <c r="K94" s="6">
        <v>0</v>
      </c>
      <c r="L94" s="6">
        <v>0</v>
      </c>
      <c r="M94" s="6">
        <v>0.52385714285714291</v>
      </c>
      <c r="N94" s="6" t="e">
        <v>#N/A</v>
      </c>
      <c r="O94" s="6" t="e">
        <v>#N/A</v>
      </c>
    </row>
    <row r="95" spans="1:15" ht="13.5" customHeight="1">
      <c r="A95" s="6" t="s">
        <v>2272</v>
      </c>
      <c r="B95" s="11" t="s">
        <v>1625</v>
      </c>
      <c r="C95" s="6" t="s">
        <v>2259</v>
      </c>
      <c r="D95" s="6" t="s">
        <v>2260</v>
      </c>
      <c r="E95" s="6">
        <v>4</v>
      </c>
      <c r="F95" s="6">
        <v>0</v>
      </c>
      <c r="G95" s="5">
        <v>0</v>
      </c>
      <c r="H95" s="5">
        <v>0</v>
      </c>
      <c r="I95" s="6">
        <v>0</v>
      </c>
      <c r="J95" s="6">
        <v>0</v>
      </c>
      <c r="K95" s="6">
        <v>0</v>
      </c>
      <c r="L95" s="6">
        <v>0</v>
      </c>
      <c r="M95" s="6">
        <v>1.4857142857142858</v>
      </c>
      <c r="N95" s="6" t="e">
        <v>#N/A</v>
      </c>
      <c r="O95" s="6" t="e">
        <v>#N/A</v>
      </c>
    </row>
    <row r="96" spans="1:15" ht="13.5" customHeight="1">
      <c r="A96" s="6" t="s">
        <v>2272</v>
      </c>
      <c r="B96" s="11" t="s">
        <v>1625</v>
      </c>
      <c r="C96" s="6" t="s">
        <v>2261</v>
      </c>
      <c r="D96" s="6" t="s">
        <v>2262</v>
      </c>
      <c r="E96" s="6">
        <v>8</v>
      </c>
      <c r="F96" s="6">
        <v>0</v>
      </c>
      <c r="G96" s="5">
        <v>0</v>
      </c>
      <c r="H96" s="5">
        <v>0</v>
      </c>
      <c r="I96" s="6">
        <v>0</v>
      </c>
      <c r="J96" s="6">
        <v>0</v>
      </c>
      <c r="K96" s="6">
        <v>0</v>
      </c>
      <c r="L96" s="6">
        <v>0</v>
      </c>
      <c r="M96" s="6">
        <v>2.9714285714285715</v>
      </c>
      <c r="N96" s="6" t="e">
        <v>#N/A</v>
      </c>
      <c r="O96" s="6" t="e">
        <v>#N/A</v>
      </c>
    </row>
    <row r="97" spans="1:15" ht="13.5" customHeight="1">
      <c r="A97" s="6" t="s">
        <v>2272</v>
      </c>
      <c r="B97" s="11" t="s">
        <v>1625</v>
      </c>
      <c r="C97" s="6" t="s">
        <v>717</v>
      </c>
      <c r="D97" s="6" t="s">
        <v>716</v>
      </c>
      <c r="E97" s="6">
        <v>8</v>
      </c>
      <c r="F97" s="6">
        <v>0</v>
      </c>
      <c r="G97" s="5">
        <v>0</v>
      </c>
      <c r="H97" s="5">
        <v>0</v>
      </c>
      <c r="I97" s="6">
        <v>0</v>
      </c>
      <c r="J97" s="6">
        <v>0</v>
      </c>
      <c r="K97" s="6">
        <v>0</v>
      </c>
      <c r="L97" s="6">
        <v>0</v>
      </c>
      <c r="M97" s="6">
        <v>13.460285714285716</v>
      </c>
      <c r="N97" s="6" t="e">
        <v>#N/A</v>
      </c>
      <c r="O97" s="6" t="e">
        <v>#N/A</v>
      </c>
    </row>
    <row r="98" spans="1:15" ht="13.5" customHeight="1">
      <c r="A98" s="6" t="s">
        <v>2272</v>
      </c>
      <c r="B98" s="11" t="s">
        <v>1625</v>
      </c>
      <c r="C98" s="6" t="s">
        <v>715</v>
      </c>
      <c r="D98" s="6" t="s">
        <v>714</v>
      </c>
      <c r="E98" s="6">
        <v>2</v>
      </c>
      <c r="F98" s="6">
        <v>0</v>
      </c>
      <c r="G98" s="5">
        <v>0</v>
      </c>
      <c r="H98" s="5">
        <v>0</v>
      </c>
      <c r="I98" s="6">
        <v>0</v>
      </c>
      <c r="J98" s="6">
        <v>0</v>
      </c>
      <c r="K98" s="6">
        <v>0</v>
      </c>
      <c r="L98" s="6">
        <v>0</v>
      </c>
      <c r="M98" s="6">
        <v>1.523857142857143</v>
      </c>
      <c r="N98" s="6" t="e">
        <v>#N/A</v>
      </c>
      <c r="O98" s="6" t="e">
        <v>#N/A</v>
      </c>
    </row>
    <row r="99" spans="1:15" ht="13.5" customHeight="1">
      <c r="A99" s="6" t="s">
        <v>2272</v>
      </c>
      <c r="B99" s="11" t="s">
        <v>1625</v>
      </c>
      <c r="C99" s="6" t="s">
        <v>707</v>
      </c>
      <c r="D99" s="6" t="s">
        <v>706</v>
      </c>
      <c r="E99" s="6">
        <v>16</v>
      </c>
      <c r="F99" s="6">
        <v>0</v>
      </c>
      <c r="G99" s="5">
        <v>0</v>
      </c>
      <c r="H99" s="5">
        <v>0</v>
      </c>
      <c r="I99" s="6">
        <v>0</v>
      </c>
      <c r="J99" s="6">
        <v>0</v>
      </c>
      <c r="K99" s="6">
        <v>0</v>
      </c>
      <c r="L99" s="6">
        <v>0</v>
      </c>
      <c r="M99" s="6">
        <v>6.6031428571428581</v>
      </c>
      <c r="N99" s="6" t="e">
        <v>#N/A</v>
      </c>
      <c r="O99" s="6" t="e">
        <v>#N/A</v>
      </c>
    </row>
    <row r="100" spans="1:15" ht="13.5" customHeight="1">
      <c r="A100" s="6" t="s">
        <v>2272</v>
      </c>
      <c r="B100" s="11" t="s">
        <v>1625</v>
      </c>
      <c r="C100" s="6" t="s">
        <v>705</v>
      </c>
      <c r="D100" s="6" t="s">
        <v>704</v>
      </c>
      <c r="E100" s="6">
        <v>8</v>
      </c>
      <c r="F100" s="6">
        <v>0</v>
      </c>
      <c r="G100" s="5">
        <v>0</v>
      </c>
      <c r="H100" s="5">
        <v>0</v>
      </c>
      <c r="I100" s="6">
        <v>0</v>
      </c>
      <c r="J100" s="6">
        <v>0</v>
      </c>
      <c r="K100" s="6">
        <v>0</v>
      </c>
      <c r="L100" s="6">
        <v>0</v>
      </c>
      <c r="M100" s="6">
        <v>3.555571428571429</v>
      </c>
      <c r="N100" s="6" t="e">
        <v>#N/A</v>
      </c>
      <c r="O100" s="6" t="e">
        <v>#N/A</v>
      </c>
    </row>
    <row r="101" spans="1:15" ht="13.5" customHeight="1">
      <c r="A101" s="6" t="s">
        <v>2272</v>
      </c>
      <c r="B101" s="11" t="s">
        <v>1625</v>
      </c>
      <c r="C101" s="6" t="s">
        <v>2263</v>
      </c>
      <c r="D101" s="6" t="s">
        <v>1106</v>
      </c>
      <c r="E101" s="6">
        <v>2</v>
      </c>
      <c r="F101" s="6">
        <v>0</v>
      </c>
      <c r="G101" s="5">
        <v>0</v>
      </c>
      <c r="H101" s="5">
        <v>0</v>
      </c>
      <c r="I101" s="6">
        <v>0</v>
      </c>
      <c r="J101" s="6">
        <v>0</v>
      </c>
      <c r="K101" s="6">
        <v>0</v>
      </c>
      <c r="L101" s="6">
        <v>0</v>
      </c>
      <c r="M101" s="6">
        <v>2.3810000000000002</v>
      </c>
      <c r="N101" s="6" t="e">
        <v>#N/A</v>
      </c>
      <c r="O101" s="6" t="e">
        <v>#N/A</v>
      </c>
    </row>
    <row r="102" spans="1:15" ht="13.5" customHeight="1">
      <c r="A102" s="6" t="s">
        <v>2272</v>
      </c>
      <c r="B102" s="11" t="s">
        <v>1625</v>
      </c>
      <c r="C102" s="6" t="s">
        <v>2264</v>
      </c>
      <c r="D102" s="6" t="s">
        <v>2265</v>
      </c>
      <c r="E102" s="6">
        <v>2</v>
      </c>
      <c r="F102" s="6">
        <v>0</v>
      </c>
      <c r="G102" s="5">
        <v>0</v>
      </c>
      <c r="H102" s="5">
        <v>0</v>
      </c>
      <c r="I102" s="6">
        <v>0</v>
      </c>
      <c r="J102" s="6">
        <v>0</v>
      </c>
      <c r="K102" s="6">
        <v>0</v>
      </c>
      <c r="L102" s="6">
        <v>0</v>
      </c>
      <c r="M102" s="6">
        <v>0.74285714285714288</v>
      </c>
      <c r="N102" s="6" t="e">
        <v>#N/A</v>
      </c>
      <c r="O102" s="6" t="e">
        <v>#N/A</v>
      </c>
    </row>
    <row r="103" spans="1:15" ht="13.5" customHeight="1">
      <c r="A103" s="6" t="s">
        <v>2272</v>
      </c>
      <c r="B103" s="11" t="s">
        <v>1625</v>
      </c>
      <c r="C103" s="6" t="s">
        <v>2266</v>
      </c>
      <c r="D103" s="6" t="s">
        <v>2267</v>
      </c>
      <c r="E103" s="6">
        <v>4</v>
      </c>
      <c r="F103" s="6">
        <v>0</v>
      </c>
      <c r="G103" s="5">
        <v>0</v>
      </c>
      <c r="H103" s="5">
        <v>0</v>
      </c>
      <c r="I103" s="6">
        <v>0</v>
      </c>
      <c r="J103" s="6">
        <v>0</v>
      </c>
      <c r="K103" s="6">
        <v>0</v>
      </c>
      <c r="L103" s="6">
        <v>0</v>
      </c>
      <c r="M103" s="6">
        <v>1.4857142857142858</v>
      </c>
      <c r="N103" s="6" t="e">
        <v>#N/A</v>
      </c>
      <c r="O103" s="6" t="e">
        <v>#N/A</v>
      </c>
    </row>
    <row r="104" spans="1:15" ht="13.5" customHeight="1">
      <c r="A104" s="6" t="s">
        <v>2272</v>
      </c>
      <c r="B104" s="11" t="s">
        <v>1625</v>
      </c>
      <c r="C104" s="6" t="s">
        <v>1643</v>
      </c>
      <c r="D104" s="6" t="s">
        <v>1642</v>
      </c>
      <c r="E104" s="6">
        <v>0.16</v>
      </c>
      <c r="F104" s="6">
        <v>0</v>
      </c>
      <c r="G104" s="5">
        <v>0</v>
      </c>
      <c r="H104" s="5">
        <v>0</v>
      </c>
      <c r="I104" s="6">
        <v>0</v>
      </c>
      <c r="J104" s="6">
        <v>0</v>
      </c>
      <c r="K104" s="6">
        <v>0</v>
      </c>
      <c r="L104" s="6">
        <v>0</v>
      </c>
      <c r="M104" s="6">
        <v>36.09028571428572</v>
      </c>
      <c r="N104" s="6" t="e">
        <v>#N/A</v>
      </c>
      <c r="O104" s="6" t="e">
        <v>#N/A</v>
      </c>
    </row>
    <row r="105" spans="1:15" ht="13.5" customHeight="1">
      <c r="A105" s="6" t="s">
        <v>2272</v>
      </c>
      <c r="B105" s="205" t="s">
        <v>1625</v>
      </c>
      <c r="C105" s="6" t="s">
        <v>1626</v>
      </c>
      <c r="D105" s="6" t="s">
        <v>143</v>
      </c>
      <c r="E105" s="6">
        <v>1.25</v>
      </c>
      <c r="F105" s="6">
        <v>0</v>
      </c>
      <c r="G105" s="5">
        <v>0</v>
      </c>
      <c r="H105" s="5">
        <v>0</v>
      </c>
      <c r="I105" s="6">
        <v>0</v>
      </c>
      <c r="J105" s="6">
        <v>0</v>
      </c>
      <c r="K105" s="6">
        <v>0</v>
      </c>
      <c r="L105" s="6">
        <v>0</v>
      </c>
      <c r="M105" s="6">
        <v>172.30571428571432</v>
      </c>
      <c r="N105" s="6" t="e">
        <v>#N/A</v>
      </c>
      <c r="O105" s="6" t="e">
        <v>#N/A</v>
      </c>
    </row>
    <row r="106" spans="1:15" ht="13.5" customHeight="1">
      <c r="A106" s="6" t="s">
        <v>2275</v>
      </c>
      <c r="B106" s="238" t="s">
        <v>1625</v>
      </c>
      <c r="C106" s="6" t="s">
        <v>623</v>
      </c>
      <c r="D106" s="6" t="s">
        <v>2281</v>
      </c>
      <c r="E106" s="6">
        <v>1</v>
      </c>
      <c r="F106" s="6">
        <v>0</v>
      </c>
      <c r="G106" s="5">
        <v>0.1</v>
      </c>
      <c r="H106" s="5">
        <v>0.25</v>
      </c>
      <c r="I106" s="6">
        <v>0.06</v>
      </c>
      <c r="J106" s="6">
        <v>0.15760000000000002</v>
      </c>
      <c r="K106" s="6" t="s">
        <v>1477</v>
      </c>
      <c r="L106" s="6">
        <v>0.62000124000248003</v>
      </c>
      <c r="M106" s="6">
        <v>107.70042857142857</v>
      </c>
      <c r="N106" s="6" t="e">
        <v>#N/A</v>
      </c>
      <c r="O106" s="6" t="e">
        <v>#N/A</v>
      </c>
    </row>
    <row r="107" spans="1:15" ht="13.5" customHeight="1">
      <c r="A107" s="6" t="s">
        <v>2275</v>
      </c>
      <c r="B107" s="238" t="s">
        <v>1625</v>
      </c>
      <c r="C107" s="6" t="s">
        <v>2282</v>
      </c>
      <c r="D107" s="6" t="s">
        <v>555</v>
      </c>
      <c r="E107" s="6">
        <v>4</v>
      </c>
      <c r="F107" s="6">
        <v>0</v>
      </c>
      <c r="G107" s="5">
        <v>0</v>
      </c>
      <c r="H107" s="5">
        <v>0</v>
      </c>
      <c r="I107" s="6">
        <v>0</v>
      </c>
      <c r="J107" s="6">
        <v>0</v>
      </c>
      <c r="K107" s="6">
        <v>0</v>
      </c>
      <c r="L107" s="6">
        <v>0</v>
      </c>
      <c r="M107" s="6">
        <v>89.523857142857153</v>
      </c>
      <c r="N107" s="6" t="e">
        <v>#N/A</v>
      </c>
      <c r="O107" s="6" t="e">
        <v>#N/A</v>
      </c>
    </row>
    <row r="108" spans="1:15" ht="13.5" customHeight="1">
      <c r="A108" s="6" t="s">
        <v>2275</v>
      </c>
      <c r="B108" s="238" t="s">
        <v>1625</v>
      </c>
      <c r="C108" s="6" t="s">
        <v>2283</v>
      </c>
      <c r="D108" s="6" t="s">
        <v>2284</v>
      </c>
      <c r="E108" s="6">
        <v>4</v>
      </c>
      <c r="F108" s="6">
        <v>0</v>
      </c>
      <c r="G108" s="5">
        <v>0</v>
      </c>
      <c r="H108" s="5">
        <v>0</v>
      </c>
      <c r="I108" s="6">
        <v>0</v>
      </c>
      <c r="J108" s="6">
        <v>0</v>
      </c>
      <c r="K108" s="6">
        <v>0</v>
      </c>
      <c r="L108" s="6">
        <v>0</v>
      </c>
      <c r="M108" s="6" t="e">
        <v>#N/A</v>
      </c>
      <c r="N108" s="6" t="e">
        <v>#N/A</v>
      </c>
      <c r="O108" s="6" t="e">
        <v>#N/A</v>
      </c>
    </row>
    <row r="109" spans="1:15" ht="13.5" customHeight="1">
      <c r="A109" s="6" t="s">
        <v>2275</v>
      </c>
      <c r="B109" s="238" t="s">
        <v>1625</v>
      </c>
      <c r="C109" s="6" t="s">
        <v>595</v>
      </c>
      <c r="D109" s="6" t="s">
        <v>594</v>
      </c>
      <c r="E109" s="6">
        <v>4</v>
      </c>
      <c r="F109" s="6">
        <v>0</v>
      </c>
      <c r="G109" s="5">
        <v>0</v>
      </c>
      <c r="H109" s="5">
        <v>0</v>
      </c>
      <c r="I109" s="6">
        <v>0</v>
      </c>
      <c r="J109" s="6">
        <v>0</v>
      </c>
      <c r="K109" s="6">
        <v>0</v>
      </c>
      <c r="L109" s="6">
        <v>0</v>
      </c>
      <c r="M109" s="6">
        <v>2.8571428571428572</v>
      </c>
      <c r="N109" s="6" t="e">
        <v>#N/A</v>
      </c>
      <c r="O109" s="6" t="e">
        <v>#N/A</v>
      </c>
    </row>
    <row r="110" spans="1:15" ht="13.5" customHeight="1">
      <c r="A110" s="6" t="s">
        <v>2275</v>
      </c>
      <c r="B110" s="238" t="s">
        <v>1625</v>
      </c>
      <c r="C110" s="6" t="s">
        <v>597</v>
      </c>
      <c r="D110" s="6" t="s">
        <v>596</v>
      </c>
      <c r="E110" s="6">
        <v>4</v>
      </c>
      <c r="F110" s="6">
        <v>0</v>
      </c>
      <c r="G110" s="5">
        <v>0</v>
      </c>
      <c r="H110" s="5">
        <v>0</v>
      </c>
      <c r="I110" s="6">
        <v>0</v>
      </c>
      <c r="J110" s="6">
        <v>0</v>
      </c>
      <c r="K110" s="6">
        <v>0</v>
      </c>
      <c r="L110" s="6">
        <v>0</v>
      </c>
      <c r="M110" s="6">
        <v>2.8571428571428572</v>
      </c>
      <c r="N110" s="6" t="e">
        <v>#N/A</v>
      </c>
      <c r="O110" s="6" t="e">
        <v>#N/A</v>
      </c>
    </row>
    <row r="111" spans="1:15" ht="13.5" customHeight="1">
      <c r="A111" s="6" t="s">
        <v>2275</v>
      </c>
      <c r="B111" s="238" t="s">
        <v>1625</v>
      </c>
      <c r="C111" s="6" t="s">
        <v>709</v>
      </c>
      <c r="D111" s="6" t="s">
        <v>708</v>
      </c>
      <c r="E111" s="6">
        <v>16</v>
      </c>
      <c r="F111" s="6">
        <v>0</v>
      </c>
      <c r="G111" s="5">
        <v>0</v>
      </c>
      <c r="H111" s="5">
        <v>0</v>
      </c>
      <c r="I111" s="6">
        <v>0</v>
      </c>
      <c r="J111" s="6">
        <v>0</v>
      </c>
      <c r="K111" s="6">
        <v>0</v>
      </c>
      <c r="L111" s="6">
        <v>0</v>
      </c>
      <c r="M111" s="6">
        <v>12.190428571428573</v>
      </c>
      <c r="N111" s="6" t="e">
        <v>#N/A</v>
      </c>
      <c r="O111" s="6" t="e">
        <v>#N/A</v>
      </c>
    </row>
    <row r="112" spans="1:15" ht="13.5" customHeight="1">
      <c r="A112" s="6" t="s">
        <v>2275</v>
      </c>
      <c r="B112" s="238" t="s">
        <v>1625</v>
      </c>
      <c r="C112" s="6" t="s">
        <v>2285</v>
      </c>
      <c r="D112" s="6" t="s">
        <v>2286</v>
      </c>
      <c r="E112" s="6">
        <v>0.1</v>
      </c>
      <c r="F112" s="6">
        <v>0</v>
      </c>
      <c r="G112" s="5">
        <v>0</v>
      </c>
      <c r="H112" s="5">
        <v>0</v>
      </c>
      <c r="I112" s="6">
        <v>0</v>
      </c>
      <c r="J112" s="6">
        <v>0</v>
      </c>
      <c r="K112" s="6">
        <v>0</v>
      </c>
      <c r="L112" s="6">
        <v>0</v>
      </c>
      <c r="M112" s="6">
        <v>3.7142857142857144E-2</v>
      </c>
      <c r="N112" s="6" t="e">
        <v>#N/A</v>
      </c>
      <c r="O112" s="6" t="e">
        <v>#N/A</v>
      </c>
    </row>
    <row r="113" spans="1:15" ht="13.5" customHeight="1">
      <c r="A113" s="6" t="s">
        <v>2275</v>
      </c>
      <c r="B113" s="238" t="s">
        <v>1625</v>
      </c>
      <c r="C113" s="6" t="s">
        <v>2287</v>
      </c>
      <c r="D113" s="6" t="s">
        <v>2288</v>
      </c>
      <c r="E113" s="6">
        <v>0.06</v>
      </c>
      <c r="F113" s="6">
        <v>0</v>
      </c>
      <c r="G113" s="5">
        <v>0</v>
      </c>
      <c r="H113" s="5">
        <v>0</v>
      </c>
      <c r="I113" s="6">
        <v>0</v>
      </c>
      <c r="J113" s="6">
        <v>0</v>
      </c>
      <c r="K113" s="6">
        <v>0</v>
      </c>
      <c r="L113" s="6">
        <v>0</v>
      </c>
      <c r="M113" s="6">
        <v>2.2285714285714287E-2</v>
      </c>
      <c r="N113" s="6" t="e">
        <v>#N/A</v>
      </c>
      <c r="O113" s="6" t="e">
        <v>#N/A</v>
      </c>
    </row>
    <row r="114" spans="1:15" ht="13.5" customHeight="1">
      <c r="A114" s="6" t="s">
        <v>2275</v>
      </c>
      <c r="B114" s="238" t="s">
        <v>1625</v>
      </c>
      <c r="C114" s="6" t="s">
        <v>2289</v>
      </c>
      <c r="D114" s="6" t="s">
        <v>2290</v>
      </c>
      <c r="E114" s="6">
        <v>0.158</v>
      </c>
      <c r="F114" s="6">
        <v>0</v>
      </c>
      <c r="G114" s="5">
        <v>0</v>
      </c>
      <c r="H114" s="5">
        <v>0</v>
      </c>
      <c r="I114" s="6">
        <v>0</v>
      </c>
      <c r="J114" s="6">
        <v>0</v>
      </c>
      <c r="K114" s="6">
        <v>0</v>
      </c>
      <c r="L114" s="6">
        <v>0</v>
      </c>
      <c r="M114" s="6">
        <v>5.8714285714285712E-2</v>
      </c>
      <c r="N114" s="6" t="e">
        <v>#N/A</v>
      </c>
      <c r="O114" s="6" t="e">
        <v>#N/A</v>
      </c>
    </row>
    <row r="115" spans="1:15" ht="13.5" customHeight="1">
      <c r="A115" s="239" t="s">
        <v>2275</v>
      </c>
      <c r="B115" s="240" t="s">
        <v>1625</v>
      </c>
      <c r="C115" s="239" t="s">
        <v>1626</v>
      </c>
      <c r="D115" s="239" t="s">
        <v>143</v>
      </c>
      <c r="E115" s="239">
        <v>0.16</v>
      </c>
      <c r="F115" s="239">
        <v>0</v>
      </c>
      <c r="G115" s="241">
        <v>0</v>
      </c>
      <c r="H115" s="241">
        <v>0</v>
      </c>
      <c r="I115" s="239">
        <v>0</v>
      </c>
      <c r="J115" s="239">
        <v>0</v>
      </c>
      <c r="K115" s="239">
        <v>0</v>
      </c>
      <c r="L115" s="239">
        <v>0</v>
      </c>
      <c r="M115" s="239">
        <v>22.055142857142858</v>
      </c>
      <c r="N115" s="239" t="e">
        <v>#N/A</v>
      </c>
      <c r="O115" s="239" t="e">
        <v>#N/A</v>
      </c>
    </row>
  </sheetData>
  <mergeCells count="3">
    <mergeCell ref="C5:L5"/>
    <mergeCell ref="A1:O1"/>
    <mergeCell ref="A2:O2"/>
  </mergeCells>
  <pageMargins left="0.45" right="0.45" top="0.5" bottom="0.5" header="0" footer="0"/>
  <pageSetup scale="87" fitToHeight="0"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50"/>
  </sheetPr>
  <dimension ref="A1:C60"/>
  <sheetViews>
    <sheetView zoomScaleNormal="100" workbookViewId="0">
      <selection activeCell="I27" sqref="I27"/>
    </sheetView>
  </sheetViews>
  <sheetFormatPr defaultColWidth="9.1796875" defaultRowHeight="14.5"/>
  <cols>
    <col min="1" max="1" width="43" customWidth="1"/>
    <col min="2" max="2" width="37.54296875" customWidth="1"/>
    <col min="3" max="3" width="40.7265625" customWidth="1"/>
  </cols>
  <sheetData>
    <row r="1" spans="1:3">
      <c r="A1" s="17" t="s">
        <v>90</v>
      </c>
      <c r="B1" s="17" t="s">
        <v>91</v>
      </c>
      <c r="C1" s="14" t="s">
        <v>11</v>
      </c>
    </row>
    <row r="2" spans="1:3">
      <c r="A2" s="8" t="s">
        <v>93</v>
      </c>
      <c r="B2" s="18" t="s">
        <v>15</v>
      </c>
      <c r="C2" s="19" t="s">
        <v>2275</v>
      </c>
    </row>
    <row r="3" spans="1:3">
      <c r="A3" s="8" t="s">
        <v>16</v>
      </c>
      <c r="B3" s="18" t="s">
        <v>20</v>
      </c>
      <c r="C3" s="19" t="s">
        <v>1625</v>
      </c>
    </row>
    <row r="4" spans="1:3">
      <c r="A4" s="8" t="s">
        <v>107</v>
      </c>
      <c r="B4" s="8" t="s">
        <v>109</v>
      </c>
      <c r="C4" s="9" t="s">
        <v>2276</v>
      </c>
    </row>
    <row r="5" spans="1:3">
      <c r="A5" s="8" t="s">
        <v>127</v>
      </c>
      <c r="B5" s="8" t="s">
        <v>127</v>
      </c>
      <c r="C5" s="8" t="s">
        <v>2277</v>
      </c>
    </row>
    <row r="6" spans="1:3">
      <c r="A6" s="8" t="s">
        <v>0</v>
      </c>
      <c r="B6" s="8" t="s">
        <v>0</v>
      </c>
      <c r="C6" s="8" t="s">
        <v>2278</v>
      </c>
    </row>
    <row r="7" spans="1:3">
      <c r="A7" s="8" t="s">
        <v>3</v>
      </c>
      <c r="B7" s="8" t="s">
        <v>3</v>
      </c>
      <c r="C7" s="8">
        <v>1</v>
      </c>
    </row>
    <row r="8" spans="1:3">
      <c r="A8" s="8" t="s">
        <v>2</v>
      </c>
      <c r="B8" s="8" t="s">
        <v>110</v>
      </c>
      <c r="C8" s="147">
        <v>1</v>
      </c>
    </row>
    <row r="9" spans="1:3">
      <c r="A9" s="8" t="s">
        <v>1</v>
      </c>
      <c r="B9" s="8" t="s">
        <v>1</v>
      </c>
      <c r="C9" s="147">
        <v>917.48</v>
      </c>
    </row>
    <row r="10" spans="1:3">
      <c r="A10" s="8" t="s">
        <v>108</v>
      </c>
      <c r="B10" s="8" t="s">
        <v>111</v>
      </c>
      <c r="C10" s="8"/>
    </row>
    <row r="11" spans="1:3">
      <c r="A11" s="8" t="s">
        <v>31</v>
      </c>
      <c r="B11" s="8" t="s">
        <v>31</v>
      </c>
      <c r="C11" s="147">
        <v>240</v>
      </c>
    </row>
    <row r="12" spans="1:3">
      <c r="A12" s="8" t="s">
        <v>32</v>
      </c>
      <c r="B12" s="8" t="s">
        <v>32</v>
      </c>
      <c r="C12" s="147">
        <v>240</v>
      </c>
    </row>
    <row r="13" spans="1:3">
      <c r="A13" s="8" t="s">
        <v>33</v>
      </c>
      <c r="B13" s="8" t="s">
        <v>33</v>
      </c>
      <c r="C13" s="147" t="s">
        <v>2279</v>
      </c>
    </row>
    <row r="14" spans="1:3">
      <c r="A14" s="8" t="s">
        <v>34</v>
      </c>
      <c r="B14" s="8" t="s">
        <v>34</v>
      </c>
      <c r="C14" s="147" t="s">
        <v>2280</v>
      </c>
    </row>
    <row r="15" spans="1:3">
      <c r="A15" s="8" t="s">
        <v>35</v>
      </c>
      <c r="B15" s="8" t="s">
        <v>35</v>
      </c>
      <c r="C15" s="147" t="s">
        <v>360</v>
      </c>
    </row>
    <row r="16" spans="1:3">
      <c r="A16" s="8" t="s">
        <v>36</v>
      </c>
      <c r="B16" s="8" t="s">
        <v>36</v>
      </c>
      <c r="C16" s="150"/>
    </row>
    <row r="17" spans="1:3">
      <c r="A17" s="8" t="s">
        <v>37</v>
      </c>
      <c r="B17" s="8" t="s">
        <v>37</v>
      </c>
      <c r="C17" s="150"/>
    </row>
    <row r="18" spans="1:3">
      <c r="A18" s="8" t="s">
        <v>38</v>
      </c>
      <c r="B18" s="8" t="s">
        <v>38</v>
      </c>
      <c r="C18" s="150"/>
    </row>
    <row r="19" spans="1:3">
      <c r="A19" s="8" t="s">
        <v>39</v>
      </c>
      <c r="B19" s="8" t="s">
        <v>39</v>
      </c>
      <c r="C19" s="150"/>
    </row>
    <row r="20" spans="1:3">
      <c r="A20" s="8" t="s">
        <v>40</v>
      </c>
      <c r="B20" s="8" t="s">
        <v>40</v>
      </c>
      <c r="C20" s="150"/>
    </row>
    <row r="21" spans="1:3">
      <c r="A21" s="8" t="s">
        <v>41</v>
      </c>
      <c r="B21" s="8" t="s">
        <v>41</v>
      </c>
      <c r="C21" s="150"/>
    </row>
    <row r="22" spans="1:3">
      <c r="A22" s="8" t="s">
        <v>42</v>
      </c>
      <c r="B22" s="8" t="s">
        <v>42</v>
      </c>
      <c r="C22" s="8"/>
    </row>
    <row r="23" spans="1:3">
      <c r="A23" s="8" t="s">
        <v>43</v>
      </c>
      <c r="B23" s="8" t="s">
        <v>43</v>
      </c>
      <c r="C23" s="8"/>
    </row>
    <row r="24" spans="1:3">
      <c r="A24" s="8" t="s">
        <v>44</v>
      </c>
      <c r="B24" s="8" t="s">
        <v>44</v>
      </c>
      <c r="C24" s="150"/>
    </row>
    <row r="25" spans="1:3">
      <c r="A25" s="8" t="s">
        <v>45</v>
      </c>
      <c r="B25" s="8" t="s">
        <v>45</v>
      </c>
      <c r="C25" s="150"/>
    </row>
    <row r="26" spans="1:3">
      <c r="A26" s="8" t="s">
        <v>46</v>
      </c>
      <c r="B26" s="8" t="s">
        <v>46</v>
      </c>
      <c r="C26" s="150"/>
    </row>
    <row r="27" spans="1:3">
      <c r="A27" s="8" t="s">
        <v>47</v>
      </c>
      <c r="B27" s="8" t="s">
        <v>47</v>
      </c>
      <c r="C27" s="150"/>
    </row>
    <row r="28" spans="1:3">
      <c r="A28" s="8" t="s">
        <v>48</v>
      </c>
      <c r="B28" s="8" t="s">
        <v>48</v>
      </c>
      <c r="C28" s="150"/>
    </row>
    <row r="29" spans="1:3">
      <c r="A29" s="8" t="s">
        <v>49</v>
      </c>
      <c r="B29" s="8" t="s">
        <v>49</v>
      </c>
      <c r="C29" s="8"/>
    </row>
    <row r="30" spans="1:3">
      <c r="A30" s="8" t="s">
        <v>50</v>
      </c>
      <c r="B30" s="8" t="s">
        <v>50</v>
      </c>
      <c r="C30" s="8"/>
    </row>
    <row r="31" spans="1:3">
      <c r="A31" s="8" t="s">
        <v>51</v>
      </c>
      <c r="B31" s="8" t="s">
        <v>51</v>
      </c>
      <c r="C31" s="8"/>
    </row>
    <row r="32" spans="1:3">
      <c r="A32" s="8" t="s">
        <v>52</v>
      </c>
      <c r="B32" s="8" t="s">
        <v>52</v>
      </c>
      <c r="C32" s="8"/>
    </row>
    <row r="33" spans="1:3">
      <c r="A33" s="8" t="s">
        <v>53</v>
      </c>
      <c r="B33" s="8" t="s">
        <v>53</v>
      </c>
      <c r="C33" s="8"/>
    </row>
    <row r="34" spans="1:3">
      <c r="A34" s="8" t="s">
        <v>54</v>
      </c>
      <c r="B34" s="8" t="s">
        <v>54</v>
      </c>
      <c r="C34" s="150"/>
    </row>
    <row r="35" spans="1:3">
      <c r="A35" s="8" t="s">
        <v>55</v>
      </c>
      <c r="B35" s="8" t="s">
        <v>55</v>
      </c>
      <c r="C35" s="150"/>
    </row>
    <row r="36" spans="1:3">
      <c r="A36" s="8" t="s">
        <v>56</v>
      </c>
      <c r="B36" s="8" t="s">
        <v>56</v>
      </c>
      <c r="C36" s="150"/>
    </row>
    <row r="37" spans="1:3">
      <c r="A37" s="8" t="s">
        <v>57</v>
      </c>
      <c r="B37" s="8" t="s">
        <v>57</v>
      </c>
      <c r="C37" s="150"/>
    </row>
    <row r="38" spans="1:3">
      <c r="A38" s="8" t="s">
        <v>58</v>
      </c>
      <c r="B38" s="8" t="s">
        <v>58</v>
      </c>
      <c r="C38" s="8"/>
    </row>
    <row r="39" spans="1:3">
      <c r="A39" s="8" t="s">
        <v>59</v>
      </c>
      <c r="B39" s="8" t="s">
        <v>59</v>
      </c>
      <c r="C39" s="8"/>
    </row>
    <row r="40" spans="1:3">
      <c r="A40" s="8" t="s">
        <v>60</v>
      </c>
      <c r="B40" s="8" t="s">
        <v>60</v>
      </c>
      <c r="C40" s="8"/>
    </row>
    <row r="41" spans="1:3">
      <c r="A41" s="8" t="s">
        <v>61</v>
      </c>
      <c r="B41" s="8" t="s">
        <v>61</v>
      </c>
      <c r="C41" s="8"/>
    </row>
    <row r="42" spans="1:3">
      <c r="A42" s="8" t="s">
        <v>62</v>
      </c>
      <c r="B42" s="8" t="s">
        <v>62</v>
      </c>
      <c r="C42" s="8"/>
    </row>
    <row r="43" spans="1:3">
      <c r="A43" s="8" t="s">
        <v>63</v>
      </c>
      <c r="B43" s="8" t="s">
        <v>63</v>
      </c>
      <c r="C43" s="8"/>
    </row>
    <row r="44" spans="1:3">
      <c r="A44" s="8" t="s">
        <v>64</v>
      </c>
      <c r="B44" s="8" t="s">
        <v>64</v>
      </c>
      <c r="C44" s="8"/>
    </row>
    <row r="45" spans="1:3">
      <c r="A45" s="8" t="s">
        <v>65</v>
      </c>
      <c r="B45" s="8" t="s">
        <v>65</v>
      </c>
      <c r="C45" s="8"/>
    </row>
    <row r="46" spans="1:3">
      <c r="A46" s="8" t="s">
        <v>66</v>
      </c>
      <c r="B46" s="8" t="s">
        <v>66</v>
      </c>
      <c r="C46" s="8"/>
    </row>
    <row r="47" spans="1:3">
      <c r="A47" s="8" t="s">
        <v>67</v>
      </c>
      <c r="B47" s="8" t="s">
        <v>67</v>
      </c>
      <c r="C47" s="8"/>
    </row>
    <row r="48" spans="1:3">
      <c r="A48" s="8" t="s">
        <v>68</v>
      </c>
      <c r="B48" s="8" t="s">
        <v>68</v>
      </c>
      <c r="C48" s="8"/>
    </row>
    <row r="49" spans="1:3">
      <c r="A49" s="8" t="s">
        <v>69</v>
      </c>
      <c r="B49" s="8" t="s">
        <v>69</v>
      </c>
      <c r="C49" s="8"/>
    </row>
    <row r="50" spans="1:3">
      <c r="A50" s="8" t="s">
        <v>70</v>
      </c>
      <c r="B50" s="8" t="s">
        <v>70</v>
      </c>
      <c r="C50" s="147">
        <v>160.56</v>
      </c>
    </row>
    <row r="51" spans="1:3">
      <c r="A51" s="8" t="s">
        <v>71</v>
      </c>
      <c r="B51" s="8" t="s">
        <v>71</v>
      </c>
      <c r="C51" s="147">
        <v>106.81</v>
      </c>
    </row>
    <row r="52" spans="1:3">
      <c r="A52" s="8" t="s">
        <v>72</v>
      </c>
      <c r="B52" s="8" t="s">
        <v>72</v>
      </c>
      <c r="C52" s="147">
        <v>427.24</v>
      </c>
    </row>
    <row r="53" spans="1:3">
      <c r="A53" s="8" t="s">
        <v>73</v>
      </c>
      <c r="B53" s="8" t="s">
        <v>73</v>
      </c>
      <c r="C53" s="8">
        <v>0.33476581963129048</v>
      </c>
    </row>
    <row r="54" spans="1:3">
      <c r="A54" s="8" t="s">
        <v>74</v>
      </c>
      <c r="B54" s="8" t="s">
        <v>74</v>
      </c>
      <c r="C54" s="8"/>
    </row>
    <row r="55" spans="1:3">
      <c r="A55" s="8" t="s">
        <v>75</v>
      </c>
      <c r="B55" s="8" t="s">
        <v>75</v>
      </c>
      <c r="C55" s="8"/>
    </row>
    <row r="56" spans="1:3">
      <c r="A56" s="8" t="s">
        <v>76</v>
      </c>
      <c r="B56" s="8" t="s">
        <v>76</v>
      </c>
      <c r="C56" s="8"/>
    </row>
    <row r="57" spans="1:3">
      <c r="A57" s="8" t="s">
        <v>77</v>
      </c>
      <c r="B57" s="8" t="s">
        <v>77</v>
      </c>
      <c r="C57" s="8"/>
    </row>
    <row r="58" spans="1:3">
      <c r="A58" s="8" t="s">
        <v>78</v>
      </c>
      <c r="B58" s="8" t="s">
        <v>78</v>
      </c>
      <c r="C58" s="8"/>
    </row>
    <row r="59" spans="1:3">
      <c r="A59" s="8" t="s">
        <v>79</v>
      </c>
      <c r="B59" s="8" t="s">
        <v>79</v>
      </c>
      <c r="C59" s="8"/>
    </row>
    <row r="60" spans="1:3">
      <c r="A60" s="8" t="s">
        <v>80</v>
      </c>
      <c r="B60" s="8" t="s">
        <v>80</v>
      </c>
      <c r="C60" s="8" t="s">
        <v>2275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B050"/>
  </sheetPr>
  <dimension ref="A1:AB91"/>
  <sheetViews>
    <sheetView topLeftCell="A73" zoomScaleNormal="100" workbookViewId="0">
      <selection activeCell="E55" sqref="E55"/>
    </sheetView>
  </sheetViews>
  <sheetFormatPr defaultColWidth="9.1796875" defaultRowHeight="14.5"/>
  <cols>
    <col min="1" max="1" width="30.81640625" customWidth="1"/>
    <col min="2" max="2" width="30.54296875" customWidth="1"/>
    <col min="3" max="3" width="22.54296875" style="25" bestFit="1" customWidth="1"/>
    <col min="4" max="4" width="25.26953125" style="55" customWidth="1"/>
    <col min="5" max="5" width="27.54296875" style="54" customWidth="1"/>
    <col min="6" max="6" width="21.1796875" customWidth="1"/>
    <col min="7" max="7" width="21.54296875" style="53" customWidth="1"/>
    <col min="8" max="8" width="17.26953125" style="53" customWidth="1"/>
    <col min="9" max="9" width="29" style="53" customWidth="1"/>
    <col min="10" max="10" width="16.453125" style="53" bestFit="1" customWidth="1"/>
    <col min="11" max="11" width="16.453125" style="53" customWidth="1"/>
    <col min="12" max="12" width="9" style="53" bestFit="1" customWidth="1"/>
    <col min="13" max="13" width="24" customWidth="1"/>
    <col min="14" max="14" width="75.26953125" bestFit="1" customWidth="1"/>
    <col min="15" max="15" width="75.54296875" bestFit="1" customWidth="1"/>
  </cols>
  <sheetData>
    <row r="1" spans="1:11" ht="26.5" thickBot="1">
      <c r="A1" s="111" t="s">
        <v>261</v>
      </c>
      <c r="B1" s="110"/>
      <c r="C1" s="109"/>
      <c r="D1" s="108"/>
      <c r="E1" s="107"/>
    </row>
    <row r="2" spans="1:11" ht="15" thickBot="1"/>
    <row r="3" spans="1:11" ht="16" thickBot="1">
      <c r="A3" s="106" t="s">
        <v>260</v>
      </c>
      <c r="B3" s="105" t="s">
        <v>259</v>
      </c>
      <c r="C3" s="104"/>
      <c r="D3" s="103"/>
      <c r="E3" s="102"/>
      <c r="F3" s="101"/>
      <c r="G3" s="100"/>
    </row>
    <row r="6" spans="1:11">
      <c r="A6" s="89" t="s">
        <v>258</v>
      </c>
      <c r="B6" s="99">
        <v>109</v>
      </c>
    </row>
    <row r="7" spans="1:11">
      <c r="C7"/>
      <c r="D7"/>
      <c r="E7"/>
      <c r="G7"/>
      <c r="H7"/>
      <c r="I7"/>
      <c r="J7"/>
    </row>
    <row r="8" spans="1:11">
      <c r="A8" s="98">
        <v>3</v>
      </c>
      <c r="B8" s="98">
        <v>4</v>
      </c>
      <c r="C8" s="98">
        <v>5</v>
      </c>
      <c r="D8" s="98">
        <v>6</v>
      </c>
      <c r="E8" s="98">
        <v>7</v>
      </c>
      <c r="F8" s="98">
        <v>8</v>
      </c>
      <c r="G8" s="98">
        <v>9</v>
      </c>
      <c r="H8" s="98">
        <v>10</v>
      </c>
      <c r="I8" s="98">
        <v>11</v>
      </c>
      <c r="J8" s="98">
        <v>12</v>
      </c>
    </row>
    <row r="9" spans="1:11" ht="24" thickBot="1">
      <c r="A9" s="97" t="s">
        <v>257</v>
      </c>
      <c r="B9" s="96"/>
      <c r="C9" s="96"/>
      <c r="D9" s="95"/>
      <c r="E9" s="25"/>
      <c r="F9" s="25"/>
      <c r="G9" s="25"/>
      <c r="H9" s="25"/>
      <c r="I9" s="25"/>
      <c r="J9" s="25"/>
      <c r="K9" s="25"/>
    </row>
    <row r="10" spans="1:11">
      <c r="A10" s="93" t="s">
        <v>256</v>
      </c>
      <c r="B10" s="93" t="s">
        <v>255</v>
      </c>
      <c r="C10" s="93" t="s">
        <v>254</v>
      </c>
      <c r="D10" s="94" t="s">
        <v>253</v>
      </c>
      <c r="E10" s="93" t="s">
        <v>252</v>
      </c>
      <c r="F10" s="93" t="s">
        <v>251</v>
      </c>
      <c r="G10" s="93" t="s">
        <v>250</v>
      </c>
      <c r="H10" s="93" t="s">
        <v>249</v>
      </c>
      <c r="I10" s="93" t="s">
        <v>248</v>
      </c>
      <c r="J10" s="93" t="s">
        <v>247</v>
      </c>
      <c r="K10"/>
    </row>
    <row r="11" spans="1:11" s="53" customFormat="1">
      <c r="A11" s="92" t="str">
        <f>INDEX(IMPACT_BOM_Table[],PART_ROW,A8)</f>
        <v>ASSEMBLY LABOR</v>
      </c>
      <c r="B11" s="92" t="str">
        <f>INDEX(IMPACT_BOM_Table[],PART_ROW,B8)</f>
        <v>LA</v>
      </c>
      <c r="C11" s="92">
        <f>INDEX(IMPACT_BOM_Table[],PART_ROW,C8)</f>
        <v>0.16</v>
      </c>
      <c r="D11" s="92">
        <f>INDEX(IMPACT_BOM_Table[],PART_ROW,D8)</f>
        <v>0</v>
      </c>
      <c r="E11" s="92">
        <f>INDEX(IMPACT_BOM_Table[],PART_ROW,E8)</f>
        <v>0</v>
      </c>
      <c r="F11" s="92">
        <f>INDEX(IMPACT_BOM_Table[],PART_ROW,F8)</f>
        <v>0</v>
      </c>
      <c r="G11" s="92">
        <f>INDEX(IMPACT_BOM_Table[],PART_ROW,G8)</f>
        <v>0</v>
      </c>
      <c r="H11" s="92">
        <f>INDEX(IMPACT_BOM_Table[],PART_ROW,H8)</f>
        <v>0</v>
      </c>
      <c r="I11" s="92">
        <f>INDEX(IMPACT_BOM_Table[],PART_ROW,I8)</f>
        <v>0</v>
      </c>
      <c r="J11" s="92">
        <f>INDEX(IMPACT_BOM_Table[],PART_ROW,J8)</f>
        <v>0</v>
      </c>
      <c r="K11"/>
    </row>
    <row r="12" spans="1:11" s="53" customFormat="1"/>
    <row r="13" spans="1:11" s="53" customFormat="1">
      <c r="A13" s="91" t="s">
        <v>269</v>
      </c>
      <c r="B13" s="112" t="str">
        <f>INDEX(IMPACT_BOM_Table[],PART_ROW,1)</f>
        <v>PLT_0005</v>
      </c>
    </row>
    <row r="15" spans="1:11" ht="15.5">
      <c r="A15" s="91" t="s">
        <v>246</v>
      </c>
      <c r="B15" s="87" t="str">
        <f>LEFT(FULL_PART_NUMBER,1)</f>
        <v>L</v>
      </c>
      <c r="C15" s="90" t="s">
        <v>245</v>
      </c>
    </row>
    <row r="16" spans="1:11" ht="21">
      <c r="A16" s="91" t="s">
        <v>244</v>
      </c>
      <c r="B16" s="87" t="b">
        <f>NOT(OR(PART_FIRST_CHAR="P",PART_FIRST_CHAR="L",PART_FIRST_CHAR="A",PART_FIRST_CHAR="G"))</f>
        <v>0</v>
      </c>
      <c r="C16" s="90" t="s">
        <v>243</v>
      </c>
    </row>
    <row r="17" spans="1:11" ht="15.5">
      <c r="A17" s="91" t="s">
        <v>242</v>
      </c>
      <c r="B17" s="87" t="e">
        <f>FIND(CHAR(1),SUBSTITUTE(FULL_PART_NUMBER,"-",CHAR(1),2))-1</f>
        <v>#VALUE!</v>
      </c>
      <c r="C17" s="90" t="s">
        <v>241</v>
      </c>
      <c r="D17" s="25"/>
      <c r="E17" s="25"/>
      <c r="F17" s="25"/>
      <c r="G17" s="25"/>
      <c r="H17" s="25"/>
      <c r="I17" s="25"/>
      <c r="J17" s="25"/>
      <c r="K17" s="25"/>
    </row>
    <row r="18" spans="1:11" ht="15.5">
      <c r="A18" s="89" t="s">
        <v>240</v>
      </c>
      <c r="B18" s="87" t="str">
        <f>IF(ISERROR(B17),B11,LEFT(B11,B17))</f>
        <v>LA</v>
      </c>
      <c r="C18" s="53"/>
      <c r="D18" s="53"/>
      <c r="E18" s="25"/>
      <c r="F18" s="25"/>
      <c r="G18" s="25"/>
      <c r="H18" s="25"/>
      <c r="I18" s="25"/>
      <c r="J18" s="25"/>
      <c r="K18" s="25"/>
    </row>
    <row r="19" spans="1:11" ht="15.5">
      <c r="A19" s="71" t="s">
        <v>239</v>
      </c>
      <c r="B19" s="87" t="str">
        <f>IF(HARDWARE_FLAG=TRUE,"HD",VLOOKUP(BASE_PART_NUMBER,BASE_PARTS_TABLE[],3,FALSE))</f>
        <v>LA</v>
      </c>
      <c r="C19" s="53"/>
      <c r="D19" s="53"/>
      <c r="E19" s="53"/>
      <c r="F19" s="25"/>
      <c r="G19" s="25"/>
      <c r="H19" s="25"/>
      <c r="I19" s="25"/>
      <c r="J19" s="25"/>
      <c r="K19" s="25"/>
    </row>
    <row r="20" spans="1:11" ht="15.5">
      <c r="B20" s="88"/>
      <c r="C20" s="53"/>
      <c r="D20" s="53"/>
      <c r="E20" s="53"/>
      <c r="F20" s="25"/>
      <c r="G20" s="25"/>
      <c r="H20" s="25"/>
      <c r="I20" s="25"/>
      <c r="J20" s="25"/>
      <c r="K20" s="25"/>
    </row>
    <row r="21" spans="1:11">
      <c r="A21" s="71" t="s">
        <v>238</v>
      </c>
      <c r="B21" s="82"/>
      <c r="C21" s="53"/>
      <c r="D21" s="53"/>
      <c r="E21" s="53"/>
      <c r="F21" s="25"/>
      <c r="G21" s="25"/>
      <c r="H21" s="25"/>
      <c r="I21" s="25"/>
      <c r="J21" s="25"/>
      <c r="K21" s="25"/>
    </row>
    <row r="22" spans="1:11">
      <c r="A22" s="71" t="s">
        <v>237</v>
      </c>
      <c r="B22" s="82"/>
      <c r="C22" s="53"/>
      <c r="D22" s="53"/>
      <c r="E22" s="53"/>
      <c r="F22" s="25"/>
      <c r="G22" s="25"/>
      <c r="H22" s="25"/>
      <c r="I22" s="25"/>
      <c r="J22" s="25"/>
      <c r="K22" s="25"/>
    </row>
    <row r="23" spans="1:11" ht="15.5">
      <c r="B23" s="88"/>
      <c r="C23" s="53"/>
      <c r="D23" s="53"/>
      <c r="E23" s="53"/>
      <c r="F23" s="25"/>
      <c r="G23" s="25"/>
      <c r="H23" s="25"/>
      <c r="I23" s="25"/>
      <c r="J23" s="25"/>
      <c r="K23" s="25"/>
    </row>
    <row r="24" spans="1:11" ht="15.5">
      <c r="B24" s="88"/>
      <c r="C24" s="53"/>
      <c r="D24" s="53"/>
      <c r="E24" s="53"/>
      <c r="F24" s="25"/>
      <c r="G24" s="25"/>
      <c r="H24" s="25"/>
      <c r="I24" s="25"/>
      <c r="J24" s="25"/>
      <c r="K24" s="25"/>
    </row>
    <row r="25" spans="1:11" ht="15.5">
      <c r="A25" s="71" t="s">
        <v>236</v>
      </c>
      <c r="B25" s="87">
        <v>10</v>
      </c>
      <c r="C25" s="86" t="s">
        <v>235</v>
      </c>
      <c r="D25" s="53"/>
      <c r="E25" s="53"/>
      <c r="F25" s="25"/>
      <c r="G25" s="25"/>
      <c r="H25" s="25"/>
      <c r="I25" s="25"/>
      <c r="J25" s="25"/>
      <c r="K25" s="25"/>
    </row>
    <row r="26" spans="1:11" ht="15" thickBot="1">
      <c r="B26" s="53"/>
      <c r="C26" s="53"/>
      <c r="D26" s="53"/>
      <c r="E26" s="53"/>
      <c r="F26" s="25"/>
      <c r="G26" s="25"/>
      <c r="H26" s="25"/>
      <c r="I26" s="25"/>
      <c r="J26" s="25"/>
      <c r="K26" s="25"/>
    </row>
    <row r="27" spans="1:11" ht="16" thickBot="1">
      <c r="A27" s="221" t="s">
        <v>234</v>
      </c>
      <c r="B27" s="222"/>
      <c r="C27" s="222"/>
      <c r="D27" s="223"/>
      <c r="E27"/>
      <c r="F27" s="25"/>
      <c r="G27" s="25"/>
      <c r="H27" s="25"/>
      <c r="I27" s="25"/>
      <c r="J27" s="25"/>
      <c r="K27" s="25"/>
    </row>
    <row r="28" spans="1:11" ht="31">
      <c r="A28" s="85" t="s">
        <v>233</v>
      </c>
      <c r="B28" s="85" t="s">
        <v>232</v>
      </c>
      <c r="C28" s="85" t="s">
        <v>231</v>
      </c>
      <c r="D28" s="85" t="s">
        <v>230</v>
      </c>
      <c r="F28" s="25"/>
      <c r="G28" s="25"/>
      <c r="H28" s="25"/>
      <c r="I28" s="25"/>
      <c r="J28" s="25"/>
      <c r="K28" s="25"/>
    </row>
    <row r="29" spans="1:11">
      <c r="A29" s="80" t="s">
        <v>229</v>
      </c>
      <c r="B29" s="113">
        <f>VLOOKUP(DEVICE_REF_ID,SUMMARY_TABLE[],6,FALSE)</f>
        <v>1</v>
      </c>
      <c r="C29" s="78"/>
      <c r="D29" s="77" t="s">
        <v>228</v>
      </c>
      <c r="G29" s="25"/>
      <c r="H29" s="25"/>
      <c r="I29" s="25"/>
      <c r="J29" s="25"/>
      <c r="K29" s="25"/>
    </row>
    <row r="30" spans="1:11">
      <c r="A30" s="80" t="s">
        <v>227</v>
      </c>
      <c r="B30" s="84">
        <f>VLOOKUP(BASE_PART_NUMBER,BASE_PARTS_TABLE[],TABLE_FIELD,FALSE)</f>
        <v>96.491228070175396</v>
      </c>
      <c r="C30" s="78"/>
      <c r="D30" s="77" t="s">
        <v>215</v>
      </c>
      <c r="G30" s="25"/>
      <c r="H30" s="25"/>
      <c r="I30" s="25"/>
      <c r="J30" s="25"/>
      <c r="K30" s="25"/>
    </row>
    <row r="31" spans="1:11">
      <c r="A31" s="80" t="s">
        <v>226</v>
      </c>
      <c r="B31" s="83">
        <f>VLOOKUP(BASE_PART_NUMBER,BASE_PARTS_TABLE[],TABLE_FIELD,FALSE)</f>
        <v>96.491228070175396</v>
      </c>
      <c r="C31" s="78"/>
      <c r="D31" s="77" t="s">
        <v>215</v>
      </c>
      <c r="G31" s="25"/>
      <c r="H31" s="25"/>
      <c r="I31" s="25"/>
      <c r="J31" s="25"/>
      <c r="K31" s="25"/>
    </row>
    <row r="32" spans="1:11" ht="15.5">
      <c r="A32" s="80" t="s">
        <v>225</v>
      </c>
      <c r="B32" s="82">
        <f>VLOOKUP($C32,BASE_PARTS_TABLE[],TABLE_FIELD,FALSE)</f>
        <v>0.26</v>
      </c>
      <c r="C32" s="81" t="s">
        <v>174</v>
      </c>
      <c r="D32" s="77" t="s">
        <v>215</v>
      </c>
      <c r="G32" s="25"/>
      <c r="H32" s="25"/>
      <c r="I32" s="25"/>
      <c r="J32" s="25"/>
      <c r="K32" s="25"/>
    </row>
    <row r="33" spans="1:28" ht="15.5">
      <c r="A33" s="80" t="s">
        <v>224</v>
      </c>
      <c r="B33" s="82">
        <f>VLOOKUP($C33,BASE_PARTS_TABLE[],TABLE_FIELD,FALSE)</f>
        <v>96.491228070175396</v>
      </c>
      <c r="C33" s="81" t="s">
        <v>143</v>
      </c>
      <c r="D33" s="77" t="s">
        <v>215</v>
      </c>
      <c r="G33" s="25"/>
      <c r="H33" s="25"/>
      <c r="I33" s="25"/>
      <c r="J33" s="25"/>
      <c r="K33" s="25"/>
    </row>
    <row r="34" spans="1:28" ht="15.5">
      <c r="A34" s="80" t="s">
        <v>223</v>
      </c>
      <c r="B34" s="82">
        <f>VLOOKUP($C34,BASE_PARTS_TABLE[],TABLE_FIELD,FALSE)</f>
        <v>122.80701754386</v>
      </c>
      <c r="C34" s="81" t="s">
        <v>142</v>
      </c>
      <c r="D34" s="77" t="s">
        <v>215</v>
      </c>
      <c r="G34" s="25"/>
      <c r="H34" s="25"/>
      <c r="I34" s="25"/>
      <c r="J34" s="25"/>
      <c r="K34" s="25"/>
    </row>
    <row r="35" spans="1:28" ht="15.5">
      <c r="A35" s="80" t="s">
        <v>222</v>
      </c>
      <c r="B35" s="82">
        <f>VLOOKUP($C35,BASE_PARTS_TABLE[],TABLE_FIELD,FALSE)</f>
        <v>122.80701754386</v>
      </c>
      <c r="C35" s="81" t="s">
        <v>141</v>
      </c>
      <c r="D35" s="77" t="s">
        <v>215</v>
      </c>
      <c r="G35" s="25"/>
      <c r="H35" s="25"/>
      <c r="I35" s="25"/>
      <c r="J35" s="25"/>
      <c r="K35" s="25"/>
    </row>
    <row r="36" spans="1:28" ht="15.5">
      <c r="A36" s="80" t="s">
        <v>221</v>
      </c>
      <c r="B36" s="82">
        <f>VLOOKUP($C36,BASE_PARTS_TABLE[],TABLE_FIELD,FALSE)</f>
        <v>55</v>
      </c>
      <c r="C36" s="81" t="s">
        <v>220</v>
      </c>
      <c r="D36" s="77" t="s">
        <v>215</v>
      </c>
      <c r="G36" s="25"/>
      <c r="H36" s="25"/>
      <c r="I36" s="25"/>
      <c r="J36" s="25"/>
      <c r="K36" s="25"/>
    </row>
    <row r="37" spans="1:28" ht="15.5">
      <c r="A37" s="80" t="s">
        <v>219</v>
      </c>
      <c r="B37" s="82">
        <f>VLOOKUP($C37,BASE_PARTS_TABLE[],TABLE_FIELD,FALSE)</f>
        <v>110</v>
      </c>
      <c r="C37" s="81" t="s">
        <v>218</v>
      </c>
      <c r="D37" s="77" t="s">
        <v>215</v>
      </c>
      <c r="G37" s="25"/>
      <c r="H37" s="25"/>
      <c r="I37" s="25"/>
      <c r="J37" s="25"/>
      <c r="K37" s="25"/>
    </row>
    <row r="38" spans="1:28" ht="15.5">
      <c r="A38" s="80" t="s">
        <v>217</v>
      </c>
      <c r="B38" s="82">
        <f>VLOOKUP($C38,BASE_PARTS_TABLE[],TABLE_FIELD,FALSE)</f>
        <v>75</v>
      </c>
      <c r="C38" s="81" t="s">
        <v>216</v>
      </c>
      <c r="D38" s="77" t="s">
        <v>215</v>
      </c>
      <c r="G38" s="25"/>
      <c r="H38" s="25"/>
      <c r="I38" s="25"/>
      <c r="J38" s="25"/>
      <c r="K38" s="25"/>
    </row>
    <row r="39" spans="1:28">
      <c r="A39" s="80" t="s">
        <v>214</v>
      </c>
      <c r="B39" s="79">
        <f>IF(ISERROR(VLOOKUP(VLOOKUP(BASE_PART_NUMBER,BASE_PARTS_TABLE[],5,FALSE),FINISH_TABLE[],2,FALSE)),0,(VLOOKUP(VLOOKUP(BASE_PART_NUMBER,BASE_PARTS_TABLE[],5,FALSE),FINISH_TABLE[],2,FALSE)))</f>
        <v>0</v>
      </c>
      <c r="C39" s="78"/>
      <c r="D39" s="77" t="s">
        <v>213</v>
      </c>
      <c r="G39" s="25"/>
      <c r="H39" s="25"/>
      <c r="I39" s="25"/>
      <c r="J39" s="25"/>
      <c r="K39" s="25"/>
    </row>
    <row r="40" spans="1:28">
      <c r="A40" s="80" t="s">
        <v>212</v>
      </c>
      <c r="B40" s="79">
        <f>IF(ISERROR(VLOOKUP(MATERIAL_TYPE,MATERIAL_TABLE[],2,FALSE)),0,VLOOKUP(MATERIAL_TYPE,MATERIAL_TABLE[],2,FALSE))</f>
        <v>0</v>
      </c>
      <c r="C40" s="78"/>
      <c r="D40" s="77" t="s">
        <v>211</v>
      </c>
      <c r="G40" s="25"/>
      <c r="H40" s="25"/>
      <c r="I40" s="25"/>
      <c r="J40" s="25"/>
      <c r="K40" s="25"/>
    </row>
    <row r="41" spans="1:28">
      <c r="A41" s="53"/>
      <c r="B41" s="53"/>
      <c r="C41" s="53"/>
      <c r="D41"/>
      <c r="E41"/>
      <c r="G41" s="25"/>
      <c r="H41" s="25"/>
      <c r="I41" s="25"/>
      <c r="J41" s="25"/>
      <c r="K41" s="25"/>
    </row>
    <row r="42" spans="1:28">
      <c r="A42" s="53"/>
      <c r="B42" s="53"/>
      <c r="C42" s="53"/>
      <c r="D42"/>
      <c r="E42"/>
      <c r="F42" s="25"/>
      <c r="G42" s="25"/>
      <c r="H42" s="25"/>
      <c r="I42" s="25"/>
      <c r="J42" s="25"/>
      <c r="K42" s="25"/>
    </row>
    <row r="43" spans="1:28">
      <c r="A43" s="53"/>
      <c r="B43" s="53"/>
      <c r="C43" s="53"/>
      <c r="D43"/>
      <c r="E43"/>
      <c r="F43" s="25"/>
      <c r="G43" s="25"/>
      <c r="H43" s="25"/>
      <c r="I43" s="25"/>
      <c r="J43" s="25"/>
      <c r="K43" s="25"/>
    </row>
    <row r="44" spans="1:28">
      <c r="A44" s="53"/>
      <c r="B44" s="53"/>
      <c r="C44" s="53"/>
      <c r="D44"/>
      <c r="E44"/>
      <c r="F44" s="25"/>
      <c r="G44" s="25"/>
      <c r="H44" s="25"/>
      <c r="I44" s="25"/>
      <c r="J44" s="25"/>
      <c r="K44" s="25"/>
    </row>
    <row r="45" spans="1:28" ht="15" thickBot="1">
      <c r="A45" s="53"/>
      <c r="B45" s="53"/>
      <c r="C45" s="53"/>
      <c r="D45"/>
      <c r="E45"/>
      <c r="F45" s="25"/>
      <c r="G45" s="25"/>
      <c r="H45" s="25"/>
      <c r="I45" s="25"/>
      <c r="J45" s="25"/>
      <c r="K45" s="25"/>
    </row>
    <row r="46" spans="1:28" ht="29" thickBot="1">
      <c r="A46" s="224" t="s">
        <v>210</v>
      </c>
      <c r="B46" s="225"/>
      <c r="C46" s="225"/>
      <c r="D46" s="225"/>
      <c r="E46" s="225"/>
      <c r="L46" s="217" t="s">
        <v>209</v>
      </c>
      <c r="M46" s="218"/>
      <c r="N46" s="218"/>
      <c r="O46" s="219"/>
      <c r="P46" s="53"/>
      <c r="Q46" s="53"/>
      <c r="R46" s="53"/>
      <c r="S46" s="53"/>
      <c r="T46" s="53"/>
      <c r="U46" s="53"/>
      <c r="V46" s="53"/>
      <c r="W46" s="53"/>
      <c r="X46" s="53"/>
      <c r="Y46" s="53"/>
      <c r="Z46" s="53"/>
      <c r="AA46" s="53"/>
      <c r="AB46" s="53"/>
    </row>
    <row r="47" spans="1:28">
      <c r="A47" s="75" t="s">
        <v>205</v>
      </c>
      <c r="B47" s="75" t="s">
        <v>25</v>
      </c>
      <c r="C47" s="75" t="s">
        <v>208</v>
      </c>
      <c r="D47" s="76" t="s">
        <v>207</v>
      </c>
      <c r="E47" s="76" t="s">
        <v>206</v>
      </c>
      <c r="L47" s="75" t="s">
        <v>205</v>
      </c>
      <c r="M47" s="75" t="s">
        <v>25</v>
      </c>
      <c r="N47" s="75" t="s">
        <v>204</v>
      </c>
      <c r="O47" s="74" t="s">
        <v>203</v>
      </c>
      <c r="P47" s="53"/>
      <c r="Q47" s="53"/>
      <c r="R47" s="53"/>
      <c r="S47" s="53"/>
      <c r="T47" s="53"/>
      <c r="U47" s="53"/>
      <c r="V47" s="53"/>
      <c r="W47" s="53"/>
      <c r="X47" s="53"/>
      <c r="Y47" s="53"/>
      <c r="Z47" s="53"/>
      <c r="AA47" s="53"/>
      <c r="AB47" s="53"/>
    </row>
    <row r="48" spans="1:28" ht="31">
      <c r="A48" s="58" t="s">
        <v>180</v>
      </c>
      <c r="B48" s="63" t="s">
        <v>179</v>
      </c>
      <c r="C48" s="72" t="b">
        <f t="shared" ref="C48:C55" si="0">IF(PART_TYPE=$A48,TRUE,FALSE)</f>
        <v>0</v>
      </c>
      <c r="D48" s="71" t="s">
        <v>202</v>
      </c>
      <c r="E48" s="70">
        <f>((base_part_list * PART_QUANTITY) + (shop_cost_per_hour * SHOP_PER_INSTANCE * PART_QUANTITY)) + ((shop_cost_per_hour * SHOP_PER_ITEM) / device_quantity)</f>
        <v>15.438596491228063</v>
      </c>
      <c r="L48" s="58" t="s">
        <v>180</v>
      </c>
      <c r="M48" s="63" t="s">
        <v>179</v>
      </c>
      <c r="N48" s="69" t="s">
        <v>201</v>
      </c>
      <c r="O48" s="69" t="s">
        <v>200</v>
      </c>
      <c r="P48" s="53"/>
      <c r="Q48" s="53"/>
      <c r="R48" s="53"/>
      <c r="S48" s="53"/>
      <c r="T48" s="53"/>
      <c r="U48" s="53"/>
      <c r="V48" s="53"/>
      <c r="W48" s="53"/>
      <c r="X48" s="53"/>
      <c r="Y48" s="53"/>
      <c r="Z48" s="53"/>
      <c r="AA48" s="53"/>
      <c r="AB48" s="53"/>
    </row>
    <row r="49" spans="1:28" ht="46.5">
      <c r="A49" s="58" t="s">
        <v>178</v>
      </c>
      <c r="B49" s="63" t="s">
        <v>177</v>
      </c>
      <c r="C49" s="72" t="b">
        <f t="shared" si="0"/>
        <v>0</v>
      </c>
      <c r="D49" s="71" t="s">
        <v>199</v>
      </c>
      <c r="E49" s="70">
        <f>((base_part_list * PART_LENGTH * PART_QUANTITY) + (shop_cost_per_hour * SHOP_PER_INSTANCE * PART_QUANTITY) + (finish_cost * MATERIAL_AREA * PART_QUANTITY)) + ((shop_cost_per_hour * SHOP_PER_ITEM) / device_quantity)</f>
        <v>0</v>
      </c>
      <c r="L49" s="58" t="s">
        <v>178</v>
      </c>
      <c r="M49" s="63" t="s">
        <v>177</v>
      </c>
      <c r="N49" s="69" t="s">
        <v>198</v>
      </c>
      <c r="O49" s="69" t="s">
        <v>197</v>
      </c>
      <c r="P49" s="53"/>
      <c r="Q49" s="53"/>
      <c r="R49" s="53"/>
      <c r="S49" s="53"/>
      <c r="T49" s="53"/>
      <c r="U49" s="53"/>
      <c r="V49" s="53"/>
      <c r="W49" s="53"/>
      <c r="X49" s="53"/>
      <c r="Y49" s="53"/>
      <c r="Z49" s="53"/>
      <c r="AA49" s="53"/>
      <c r="AB49" s="53"/>
    </row>
    <row r="50" spans="1:28" ht="77.5">
      <c r="A50" s="58" t="s">
        <v>176</v>
      </c>
      <c r="B50" s="115" t="s">
        <v>271</v>
      </c>
      <c r="C50" s="72" t="b">
        <f t="shared" si="0"/>
        <v>0</v>
      </c>
      <c r="D50" s="71" t="s">
        <v>270</v>
      </c>
      <c r="E50" s="114">
        <f>(((material_cost * MATERIAL_AREA * PART_QUANTITY) + (shop_cost_per_hour * SHOP_PER_INSTANCE * PART_QUANTITY) +  (WJ_cost_per_hour * WJ_PER_INSTANCE * PART_QUANTITY) + (CNC_cost_per_hour * CNC_PER_INSTANCE * PART_QUANTITY) + (finish_cost * MATERIAL_AREA * PART_QUANTITY)) + ((shop_cost_per_hour * SHOP_PER_ITEM) / device_quantity))</f>
        <v>0</v>
      </c>
      <c r="L50" s="58" t="s">
        <v>176</v>
      </c>
      <c r="M50" s="63" t="s">
        <v>271</v>
      </c>
      <c r="N50" s="73" t="s">
        <v>195</v>
      </c>
      <c r="O50" s="73" t="s">
        <v>278</v>
      </c>
      <c r="P50" s="53"/>
      <c r="Q50" s="53"/>
      <c r="R50" s="53"/>
      <c r="S50" s="53"/>
      <c r="T50" s="53"/>
      <c r="U50" s="53"/>
      <c r="V50" s="53"/>
      <c r="W50" s="53"/>
      <c r="X50" s="53"/>
      <c r="Y50" s="53"/>
      <c r="Z50" s="53"/>
      <c r="AA50" s="53"/>
      <c r="AB50" s="53"/>
    </row>
    <row r="51" spans="1:28" ht="15.5">
      <c r="A51" s="58" t="s">
        <v>176</v>
      </c>
      <c r="B51" s="115" t="s">
        <v>272</v>
      </c>
      <c r="C51" s="72" t="b">
        <f t="shared" si="0"/>
        <v>0</v>
      </c>
      <c r="D51" s="71" t="s">
        <v>196</v>
      </c>
      <c r="E51" s="70">
        <f>IF(TABLE_FIELD=8,SD_COST_VALUE,SD_COST_VALUE/(1-base_part_margin))</f>
        <v>0</v>
      </c>
      <c r="L51" s="58" t="s">
        <v>176</v>
      </c>
      <c r="M51" s="121" t="s">
        <v>279</v>
      </c>
      <c r="N51" s="122" t="s">
        <v>281</v>
      </c>
      <c r="O51" s="120" t="s">
        <v>280</v>
      </c>
      <c r="P51" s="53"/>
      <c r="Q51" s="53"/>
      <c r="R51" s="53"/>
      <c r="S51" s="53"/>
      <c r="T51" s="53"/>
      <c r="U51" s="53"/>
      <c r="V51" s="53"/>
      <c r="W51" s="53"/>
      <c r="X51" s="53"/>
      <c r="Y51" s="53"/>
      <c r="Z51" s="53"/>
      <c r="AA51" s="53"/>
      <c r="AB51" s="53"/>
    </row>
    <row r="52" spans="1:28" ht="15.5">
      <c r="A52" s="58" t="s">
        <v>174</v>
      </c>
      <c r="B52" s="63" t="s">
        <v>173</v>
      </c>
      <c r="C52" s="72" t="b">
        <f t="shared" si="0"/>
        <v>0</v>
      </c>
      <c r="D52" s="71" t="s">
        <v>194</v>
      </c>
      <c r="E52" s="70">
        <f>hardware_list * PART_QUANTITY</f>
        <v>4.1600000000000005E-2</v>
      </c>
      <c r="L52" s="58" t="s">
        <v>174</v>
      </c>
      <c r="M52" s="63" t="s">
        <v>173</v>
      </c>
      <c r="N52" s="69" t="s">
        <v>193</v>
      </c>
      <c r="O52" s="69" t="s">
        <v>192</v>
      </c>
      <c r="P52" s="53"/>
      <c r="Q52" s="53"/>
      <c r="R52" s="53"/>
      <c r="S52" s="53"/>
      <c r="T52" s="53"/>
      <c r="U52" s="53"/>
      <c r="V52" s="53"/>
      <c r="W52" s="53"/>
      <c r="X52" s="53"/>
      <c r="Y52" s="53"/>
      <c r="Z52" s="53"/>
      <c r="AA52" s="53"/>
      <c r="AB52" s="53"/>
    </row>
    <row r="53" spans="1:28" ht="15.5">
      <c r="A53" s="58" t="s">
        <v>143</v>
      </c>
      <c r="B53" s="63" t="s">
        <v>172</v>
      </c>
      <c r="C53" s="72" t="b">
        <f t="shared" si="0"/>
        <v>1</v>
      </c>
      <c r="D53" s="71" t="s">
        <v>191</v>
      </c>
      <c r="E53" s="70">
        <f>assembly_labor * PART_QUANTITY</f>
        <v>15.438596491228063</v>
      </c>
      <c r="L53" s="58" t="s">
        <v>143</v>
      </c>
      <c r="M53" s="63" t="s">
        <v>172</v>
      </c>
      <c r="N53" s="69" t="s">
        <v>190</v>
      </c>
      <c r="O53" s="69" t="s">
        <v>189</v>
      </c>
      <c r="P53" s="53"/>
      <c r="Q53" s="53"/>
      <c r="R53" s="53"/>
      <c r="S53" s="53"/>
      <c r="T53" s="53"/>
      <c r="U53" s="53"/>
      <c r="V53" s="53"/>
      <c r="W53" s="53"/>
      <c r="X53" s="53"/>
      <c r="Y53" s="53"/>
      <c r="Z53" s="53"/>
      <c r="AA53" s="53"/>
      <c r="AB53" s="53"/>
    </row>
    <row r="54" spans="1:28" ht="15.5">
      <c r="A54" s="58" t="s">
        <v>142</v>
      </c>
      <c r="B54" s="63" t="s">
        <v>171</v>
      </c>
      <c r="C54" s="72" t="b">
        <f t="shared" si="0"/>
        <v>0</v>
      </c>
      <c r="D54" s="71" t="s">
        <v>188</v>
      </c>
      <c r="E54" s="70">
        <f>engineering_labor * PART_QUANTITY</f>
        <v>19.649122807017601</v>
      </c>
      <c r="L54" s="58" t="s">
        <v>142</v>
      </c>
      <c r="M54" s="63" t="s">
        <v>171</v>
      </c>
      <c r="N54" s="69" t="s">
        <v>187</v>
      </c>
      <c r="O54" s="69" t="s">
        <v>186</v>
      </c>
      <c r="P54" s="53"/>
      <c r="Q54" s="53"/>
      <c r="R54" s="53"/>
      <c r="S54" s="53"/>
      <c r="T54" s="53"/>
      <c r="U54" s="53"/>
      <c r="V54" s="53"/>
      <c r="W54" s="53"/>
      <c r="X54" s="53"/>
      <c r="Y54" s="53"/>
      <c r="Z54" s="53"/>
      <c r="AA54" s="53"/>
      <c r="AB54" s="53"/>
    </row>
    <row r="55" spans="1:28" ht="15.5">
      <c r="A55" s="58" t="s">
        <v>141</v>
      </c>
      <c r="B55" s="63" t="s">
        <v>170</v>
      </c>
      <c r="C55" s="72" t="b">
        <f t="shared" si="0"/>
        <v>0</v>
      </c>
      <c r="D55" s="71" t="s">
        <v>185</v>
      </c>
      <c r="E55" s="70">
        <f>programming_labor * PART_QUANTITY</f>
        <v>19.649122807017601</v>
      </c>
      <c r="L55" s="58" t="s">
        <v>141</v>
      </c>
      <c r="M55" s="63" t="s">
        <v>170</v>
      </c>
      <c r="N55" s="69" t="s">
        <v>184</v>
      </c>
      <c r="O55" s="69" t="s">
        <v>183</v>
      </c>
      <c r="P55" s="53"/>
      <c r="Q55" s="53"/>
      <c r="R55" s="53"/>
      <c r="S55" s="53"/>
      <c r="T55" s="53"/>
      <c r="U55" s="53"/>
      <c r="V55" s="53"/>
      <c r="W55" s="53"/>
      <c r="X55" s="53"/>
      <c r="Y55" s="53"/>
      <c r="Z55" s="53"/>
      <c r="AA55" s="53"/>
      <c r="AB55" s="53"/>
    </row>
    <row r="56" spans="1:28">
      <c r="A56" s="53"/>
      <c r="B56" s="53"/>
      <c r="C56" s="53"/>
      <c r="D56"/>
      <c r="E56"/>
      <c r="F56" s="25"/>
      <c r="G56" s="25"/>
      <c r="H56" s="25"/>
      <c r="I56" s="25"/>
      <c r="J56" s="25"/>
      <c r="K56" s="25"/>
    </row>
    <row r="57" spans="1:28">
      <c r="A57" s="53"/>
      <c r="B57" s="53"/>
      <c r="C57" s="53"/>
      <c r="D57"/>
      <c r="E57"/>
      <c r="F57" s="25"/>
      <c r="G57" s="25"/>
      <c r="H57" s="25"/>
      <c r="I57" s="25"/>
      <c r="J57" s="25"/>
      <c r="K57" s="25"/>
    </row>
    <row r="58" spans="1:28">
      <c r="A58" s="53"/>
      <c r="B58" s="53"/>
      <c r="C58" s="53"/>
      <c r="D58"/>
      <c r="E58"/>
      <c r="F58" s="25"/>
      <c r="G58" s="25"/>
      <c r="H58" s="25"/>
      <c r="I58" s="25"/>
      <c r="J58" s="25"/>
      <c r="K58" s="25"/>
    </row>
    <row r="59" spans="1:28">
      <c r="A59" s="53"/>
      <c r="B59" s="53"/>
      <c r="C59" s="53"/>
      <c r="D59"/>
      <c r="E59"/>
      <c r="F59" s="25"/>
      <c r="G59" s="25"/>
      <c r="H59" s="25"/>
      <c r="I59" s="25"/>
      <c r="J59" s="25"/>
      <c r="K59" s="25"/>
    </row>
    <row r="60" spans="1:28">
      <c r="A60" s="53"/>
      <c r="B60" s="53"/>
      <c r="C60" s="53"/>
      <c r="D60"/>
      <c r="E60"/>
      <c r="F60" s="25"/>
      <c r="G60" s="25"/>
      <c r="H60" s="25"/>
      <c r="I60" s="25"/>
      <c r="J60" s="25"/>
      <c r="K60" s="25"/>
    </row>
    <row r="61" spans="1:28">
      <c r="A61" s="53"/>
      <c r="B61" s="53"/>
      <c r="C61" s="53"/>
      <c r="D61"/>
      <c r="E61"/>
      <c r="F61" s="25"/>
      <c r="G61" s="25"/>
      <c r="H61" s="25"/>
      <c r="I61" s="25"/>
      <c r="J61" s="25"/>
      <c r="K61" s="25"/>
    </row>
    <row r="62" spans="1:28" ht="18.5">
      <c r="A62" s="68" t="s">
        <v>182</v>
      </c>
      <c r="B62" s="67"/>
      <c r="C62" s="53"/>
      <c r="D62"/>
      <c r="E62"/>
      <c r="F62" s="25"/>
      <c r="G62" s="25"/>
      <c r="H62" s="25"/>
      <c r="I62" s="25"/>
      <c r="J62" s="25"/>
      <c r="K62" s="25"/>
    </row>
    <row r="63" spans="1:28">
      <c r="A63" s="53"/>
      <c r="B63" s="53"/>
      <c r="C63" s="53"/>
      <c r="D63"/>
      <c r="E63"/>
      <c r="F63" s="25"/>
      <c r="G63" s="25"/>
      <c r="H63" s="25"/>
      <c r="I63" s="25"/>
      <c r="J63" s="25"/>
      <c r="K63" s="25"/>
    </row>
    <row r="64" spans="1:28">
      <c r="A64" s="66" t="s">
        <v>181</v>
      </c>
      <c r="B64" s="65" t="s">
        <v>25</v>
      </c>
      <c r="C64" s="53"/>
      <c r="D64"/>
      <c r="E64"/>
      <c r="F64" s="25"/>
      <c r="G64" s="25"/>
      <c r="H64" s="25"/>
      <c r="I64" s="25"/>
      <c r="J64" s="25"/>
      <c r="K64" s="25"/>
    </row>
    <row r="65" spans="1:11">
      <c r="A65" s="8" t="s">
        <v>180</v>
      </c>
      <c r="B65" s="63" t="s">
        <v>179</v>
      </c>
      <c r="C65" s="53"/>
      <c r="D65"/>
      <c r="E65"/>
      <c r="F65" s="25"/>
      <c r="G65" s="25"/>
      <c r="H65" s="25"/>
      <c r="I65" s="25"/>
      <c r="J65" s="25"/>
      <c r="K65" s="25"/>
    </row>
    <row r="66" spans="1:11">
      <c r="A66" s="8" t="s">
        <v>178</v>
      </c>
      <c r="B66" s="63" t="s">
        <v>177</v>
      </c>
      <c r="C66" s="53"/>
      <c r="D66"/>
      <c r="E66"/>
      <c r="F66" s="25"/>
      <c r="G66" s="25"/>
      <c r="H66" s="25"/>
      <c r="I66" s="25"/>
      <c r="J66" s="25"/>
      <c r="K66" s="25"/>
    </row>
    <row r="67" spans="1:11">
      <c r="A67" s="8" t="s">
        <v>176</v>
      </c>
      <c r="B67" s="63" t="s">
        <v>175</v>
      </c>
      <c r="C67" s="53"/>
      <c r="D67"/>
      <c r="E67"/>
      <c r="F67" s="25"/>
      <c r="G67" s="25"/>
      <c r="H67" s="25"/>
      <c r="I67" s="25"/>
      <c r="J67" s="25"/>
      <c r="K67" s="25"/>
    </row>
    <row r="68" spans="1:11">
      <c r="A68" s="8" t="s">
        <v>174</v>
      </c>
      <c r="B68" s="63" t="s">
        <v>173</v>
      </c>
      <c r="C68" s="53"/>
      <c r="D68"/>
      <c r="E68"/>
      <c r="F68" s="25"/>
      <c r="G68" s="25"/>
      <c r="H68" s="25"/>
      <c r="I68" s="25"/>
      <c r="J68" s="25"/>
      <c r="K68" s="25"/>
    </row>
    <row r="69" spans="1:11">
      <c r="A69" s="8" t="s">
        <v>143</v>
      </c>
      <c r="B69" s="63" t="s">
        <v>172</v>
      </c>
      <c r="C69" s="53"/>
      <c r="D69"/>
      <c r="E69"/>
      <c r="F69" s="25"/>
      <c r="G69" s="25"/>
      <c r="H69" s="25"/>
      <c r="I69" s="25"/>
      <c r="J69" s="25"/>
      <c r="K69" s="25"/>
    </row>
    <row r="70" spans="1:11">
      <c r="A70" s="64" t="s">
        <v>142</v>
      </c>
      <c r="B70" s="63" t="s">
        <v>171</v>
      </c>
      <c r="C70" s="53"/>
      <c r="D70"/>
      <c r="E70"/>
      <c r="F70" s="25"/>
      <c r="G70" s="25"/>
      <c r="H70" s="25"/>
      <c r="I70" s="25"/>
      <c r="J70" s="25"/>
      <c r="K70" s="25"/>
    </row>
    <row r="71" spans="1:11">
      <c r="A71" s="64" t="s">
        <v>141</v>
      </c>
      <c r="B71" s="63" t="s">
        <v>170</v>
      </c>
      <c r="C71" s="53"/>
      <c r="D71"/>
      <c r="E71"/>
      <c r="F71" s="25"/>
      <c r="G71" s="25"/>
      <c r="H71" s="25"/>
      <c r="I71" s="25"/>
      <c r="J71" s="25"/>
      <c r="K71" s="25"/>
    </row>
    <row r="72" spans="1:11">
      <c r="C72" s="53"/>
      <c r="D72" s="53"/>
      <c r="E72" s="53"/>
      <c r="F72" s="25"/>
      <c r="G72" s="25"/>
      <c r="H72" s="25"/>
      <c r="I72" s="25"/>
      <c r="J72" s="25"/>
      <c r="K72" s="25"/>
    </row>
    <row r="73" spans="1:11">
      <c r="C73" s="53"/>
      <c r="D73" s="53"/>
      <c r="E73" s="53"/>
      <c r="F73" s="25"/>
      <c r="G73" s="25"/>
      <c r="H73" s="25"/>
      <c r="I73" s="25"/>
      <c r="J73" s="25"/>
      <c r="K73" s="25"/>
    </row>
    <row r="74" spans="1:11">
      <c r="A74" s="62" t="s">
        <v>169</v>
      </c>
      <c r="B74" s="54" t="s">
        <v>168</v>
      </c>
      <c r="C74" s="53"/>
      <c r="D74" s="53"/>
      <c r="E74" s="53"/>
      <c r="F74" s="25"/>
      <c r="G74" s="25"/>
      <c r="H74" s="25"/>
      <c r="I74" s="25"/>
      <c r="J74" s="25"/>
      <c r="K74" s="25"/>
    </row>
    <row r="75" spans="1:11">
      <c r="A75" s="62" t="s">
        <v>167</v>
      </c>
      <c r="B75" s="54" t="s">
        <v>166</v>
      </c>
      <c r="C75" s="53"/>
      <c r="D75" s="53"/>
      <c r="E75" s="53"/>
      <c r="F75" s="25"/>
      <c r="G75" s="25"/>
      <c r="H75" s="25"/>
      <c r="I75" s="25"/>
      <c r="J75" s="25"/>
      <c r="K75" s="25"/>
    </row>
    <row r="76" spans="1:11">
      <c r="A76" s="62" t="s">
        <v>165</v>
      </c>
      <c r="B76" s="54" t="s">
        <v>164</v>
      </c>
      <c r="C76" s="53"/>
      <c r="D76" s="53"/>
      <c r="E76" s="53"/>
      <c r="F76" s="25"/>
      <c r="G76" s="25"/>
      <c r="H76" s="25"/>
      <c r="I76" s="25"/>
      <c r="J76" s="25"/>
      <c r="K76" s="25"/>
    </row>
    <row r="77" spans="1:11" ht="33.75" customHeight="1">
      <c r="A77" s="62" t="s">
        <v>163</v>
      </c>
      <c r="B77" s="220" t="s">
        <v>162</v>
      </c>
      <c r="C77" s="220"/>
      <c r="D77" s="220"/>
      <c r="E77" s="220"/>
      <c r="F77" s="25"/>
      <c r="G77" s="25"/>
      <c r="H77" s="25"/>
      <c r="I77" s="25"/>
      <c r="J77" s="25"/>
      <c r="K77" s="25"/>
    </row>
    <row r="78" spans="1:11">
      <c r="A78" s="62" t="s">
        <v>161</v>
      </c>
      <c r="B78" s="54" t="s">
        <v>160</v>
      </c>
      <c r="C78" s="53"/>
      <c r="D78" s="53"/>
      <c r="E78" s="53"/>
      <c r="F78" s="25"/>
      <c r="G78" s="25"/>
      <c r="H78" s="25"/>
      <c r="I78" s="25"/>
      <c r="J78" s="25"/>
      <c r="K78" s="25"/>
    </row>
    <row r="79" spans="1:11">
      <c r="C79" s="53"/>
      <c r="D79" s="53"/>
      <c r="E79" s="53"/>
      <c r="F79" s="25"/>
      <c r="G79" s="25"/>
      <c r="H79" s="25"/>
      <c r="I79" s="25"/>
      <c r="J79" s="25"/>
      <c r="K79" s="25"/>
    </row>
    <row r="80" spans="1:11">
      <c r="C80" s="53"/>
      <c r="D80" s="53"/>
      <c r="E80" s="53"/>
      <c r="F80" s="25"/>
      <c r="G80" s="25"/>
      <c r="H80" s="25"/>
      <c r="I80" s="25"/>
      <c r="J80" s="25"/>
      <c r="K80" s="25"/>
    </row>
    <row r="81" spans="1:11">
      <c r="A81" s="61"/>
      <c r="B81" s="25"/>
      <c r="D81" s="25"/>
      <c r="E81" s="25"/>
      <c r="F81" s="25"/>
      <c r="G81" s="25"/>
      <c r="H81" s="25"/>
      <c r="I81" s="25"/>
      <c r="J81" s="25"/>
      <c r="K81" s="25"/>
    </row>
    <row r="82" spans="1:11" ht="18.5">
      <c r="A82" s="60" t="s">
        <v>159</v>
      </c>
      <c r="B82" s="25"/>
      <c r="D82" s="25"/>
      <c r="E82" s="25"/>
      <c r="F82" s="25"/>
      <c r="G82" s="25"/>
      <c r="H82" s="25"/>
      <c r="I82" s="25"/>
      <c r="J82" s="25"/>
      <c r="K82" s="25"/>
    </row>
    <row r="83" spans="1:11" ht="17.5">
      <c r="A83" s="59" t="s">
        <v>158</v>
      </c>
      <c r="B83" s="59" t="s">
        <v>157</v>
      </c>
      <c r="C83" s="59" t="s">
        <v>156</v>
      </c>
      <c r="D83" s="59" t="s">
        <v>155</v>
      </c>
      <c r="E83" s="59" t="s">
        <v>154</v>
      </c>
      <c r="F83" s="59" t="s">
        <v>153</v>
      </c>
      <c r="G83" s="59" t="s">
        <v>152</v>
      </c>
      <c r="H83" s="59" t="s">
        <v>151</v>
      </c>
      <c r="I83" s="59" t="s">
        <v>150</v>
      </c>
      <c r="J83" s="59" t="s">
        <v>149</v>
      </c>
      <c r="K83"/>
    </row>
    <row r="84" spans="1:11">
      <c r="A84" s="58">
        <v>0</v>
      </c>
      <c r="B84" s="57" t="s">
        <v>148</v>
      </c>
      <c r="C84" s="56">
        <v>1</v>
      </c>
      <c r="D84" s="56">
        <v>0</v>
      </c>
      <c r="E84" s="56">
        <v>0</v>
      </c>
      <c r="F84" s="56">
        <v>0</v>
      </c>
      <c r="G84" s="56">
        <v>0</v>
      </c>
      <c r="H84" s="56">
        <v>0</v>
      </c>
      <c r="I84" s="56">
        <v>0</v>
      </c>
      <c r="J84" s="56">
        <v>0</v>
      </c>
      <c r="K84"/>
    </row>
    <row r="85" spans="1:11">
      <c r="A85" s="58">
        <v>0</v>
      </c>
      <c r="B85" s="57" t="s">
        <v>147</v>
      </c>
      <c r="C85" s="56">
        <v>1</v>
      </c>
      <c r="D85" s="56">
        <v>240</v>
      </c>
      <c r="E85" s="56">
        <v>0.01</v>
      </c>
      <c r="F85" s="56">
        <v>0.1</v>
      </c>
      <c r="G85" s="56">
        <v>0</v>
      </c>
      <c r="H85" s="56">
        <v>0</v>
      </c>
      <c r="I85" s="56">
        <v>0</v>
      </c>
      <c r="J85" s="56">
        <v>0</v>
      </c>
      <c r="K85"/>
    </row>
    <row r="86" spans="1:11">
      <c r="A86" s="58">
        <v>0</v>
      </c>
      <c r="B86" s="57" t="s">
        <v>146</v>
      </c>
      <c r="C86" s="56">
        <v>1</v>
      </c>
      <c r="D86" s="56">
        <v>0</v>
      </c>
      <c r="E86" s="56">
        <v>0.24</v>
      </c>
      <c r="F86" s="56">
        <v>0.5</v>
      </c>
      <c r="G86" s="56">
        <v>0.15</v>
      </c>
      <c r="H86" s="56">
        <v>0.21</v>
      </c>
      <c r="I86" s="56" t="s">
        <v>145</v>
      </c>
      <c r="J86" s="56">
        <v>5.4</v>
      </c>
      <c r="K86"/>
    </row>
    <row r="87" spans="1:11">
      <c r="A87" s="58">
        <v>0</v>
      </c>
      <c r="B87" s="57" t="s">
        <v>144</v>
      </c>
      <c r="C87" s="56">
        <v>1</v>
      </c>
      <c r="D87" s="56">
        <v>0</v>
      </c>
      <c r="E87" s="56">
        <v>0</v>
      </c>
      <c r="F87" s="56">
        <v>0</v>
      </c>
      <c r="G87" s="56">
        <v>0</v>
      </c>
      <c r="H87" s="56">
        <v>0</v>
      </c>
      <c r="I87" s="56">
        <v>0</v>
      </c>
      <c r="J87" s="56">
        <v>0</v>
      </c>
      <c r="K87"/>
    </row>
    <row r="88" spans="1:11">
      <c r="A88" s="58">
        <v>0</v>
      </c>
      <c r="B88" s="57" t="s">
        <v>143</v>
      </c>
      <c r="C88" s="56">
        <v>1.5</v>
      </c>
      <c r="D88" s="56">
        <v>0</v>
      </c>
      <c r="E88" s="56">
        <v>0</v>
      </c>
      <c r="F88" s="56">
        <v>0</v>
      </c>
      <c r="G88" s="56">
        <v>0</v>
      </c>
      <c r="H88" s="56">
        <v>0</v>
      </c>
      <c r="I88" s="56">
        <v>0</v>
      </c>
      <c r="J88" s="56">
        <v>0</v>
      </c>
      <c r="K88"/>
    </row>
    <row r="89" spans="1:11">
      <c r="A89" s="58">
        <v>0</v>
      </c>
      <c r="B89" s="57" t="s">
        <v>142</v>
      </c>
      <c r="C89" s="56">
        <v>2.5</v>
      </c>
      <c r="D89" s="56">
        <v>0</v>
      </c>
      <c r="E89" s="56">
        <v>0</v>
      </c>
      <c r="F89" s="56">
        <v>0</v>
      </c>
      <c r="G89" s="56">
        <v>0</v>
      </c>
      <c r="H89" s="56">
        <v>0</v>
      </c>
      <c r="I89" s="56">
        <v>0</v>
      </c>
      <c r="J89" s="56">
        <v>0</v>
      </c>
      <c r="K89"/>
    </row>
    <row r="90" spans="1:11">
      <c r="A90" s="58">
        <v>0</v>
      </c>
      <c r="B90" s="57" t="s">
        <v>141</v>
      </c>
      <c r="C90" s="56">
        <v>1</v>
      </c>
      <c r="D90" s="56">
        <v>0</v>
      </c>
      <c r="E90" s="56">
        <v>0</v>
      </c>
      <c r="F90" s="56">
        <v>0</v>
      </c>
      <c r="G90" s="56">
        <v>0</v>
      </c>
      <c r="H90" s="56">
        <v>0</v>
      </c>
      <c r="I90" s="56">
        <v>0</v>
      </c>
      <c r="J90" s="56">
        <v>0</v>
      </c>
      <c r="K90"/>
    </row>
    <row r="91" spans="1:11">
      <c r="B91" s="53"/>
      <c r="C91" s="53"/>
      <c r="D91" s="53"/>
      <c r="E91" s="53"/>
      <c r="F91" s="53"/>
    </row>
  </sheetData>
  <mergeCells count="4">
    <mergeCell ref="L46:O46"/>
    <mergeCell ref="B77:E77"/>
    <mergeCell ref="A27:D27"/>
    <mergeCell ref="A46:E46"/>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0000"/>
  </sheetPr>
  <dimension ref="A1:E71"/>
  <sheetViews>
    <sheetView zoomScaleNormal="100" workbookViewId="0">
      <selection activeCell="A3" sqref="A3"/>
    </sheetView>
  </sheetViews>
  <sheetFormatPr defaultRowHeight="14.5"/>
  <cols>
    <col min="1" max="1" width="46.1796875" customWidth="1"/>
    <col min="2" max="2" width="30.7265625" customWidth="1"/>
    <col min="3" max="3" width="62.26953125" customWidth="1"/>
    <col min="4" max="4" width="80.7265625" customWidth="1"/>
    <col min="5" max="5" width="40.7265625" customWidth="1"/>
  </cols>
  <sheetData>
    <row r="1" spans="1:5" ht="23.5">
      <c r="A1" s="226" t="s">
        <v>89</v>
      </c>
      <c r="B1" s="227"/>
      <c r="C1" s="227"/>
      <c r="D1" s="227"/>
      <c r="E1" s="227"/>
    </row>
    <row r="2" spans="1:5">
      <c r="A2" s="98" t="s">
        <v>1620</v>
      </c>
      <c r="B2" s="98" t="s">
        <v>1621</v>
      </c>
      <c r="C2" s="98" t="s">
        <v>1622</v>
      </c>
      <c r="D2" s="98" t="s">
        <v>1623</v>
      </c>
      <c r="E2" s="145" t="s">
        <v>1624</v>
      </c>
    </row>
    <row r="3" spans="1:5">
      <c r="A3" s="146" t="s">
        <v>1538</v>
      </c>
      <c r="B3" s="146" t="s">
        <v>1501</v>
      </c>
      <c r="C3" s="146"/>
      <c r="D3" s="146" t="s">
        <v>1501</v>
      </c>
      <c r="E3" s="146"/>
    </row>
    <row r="4" spans="1:5">
      <c r="A4" s="146" t="s">
        <v>1502</v>
      </c>
      <c r="B4" s="146" t="s">
        <v>128</v>
      </c>
      <c r="C4" s="146" t="s">
        <v>1889</v>
      </c>
      <c r="D4" s="146" t="s">
        <v>1890</v>
      </c>
      <c r="E4" s="146" t="s">
        <v>1891</v>
      </c>
    </row>
    <row r="5" spans="1:5">
      <c r="A5" s="146" t="s">
        <v>2193</v>
      </c>
      <c r="B5" s="146" t="s">
        <v>2194</v>
      </c>
      <c r="C5" s="146"/>
      <c r="D5" s="146" t="s">
        <v>2194</v>
      </c>
      <c r="E5" s="146"/>
    </row>
    <row r="6" spans="1:5">
      <c r="A6" s="146" t="s">
        <v>1503</v>
      </c>
      <c r="B6" s="146" t="s">
        <v>302</v>
      </c>
      <c r="C6" s="146" t="s">
        <v>1892</v>
      </c>
      <c r="D6" s="146" t="s">
        <v>302</v>
      </c>
      <c r="E6" s="146"/>
    </row>
    <row r="7" spans="1:5">
      <c r="A7" s="146" t="s">
        <v>1541</v>
      </c>
      <c r="B7" s="146" t="s">
        <v>311</v>
      </c>
      <c r="C7" s="146"/>
      <c r="D7" s="146" t="s">
        <v>311</v>
      </c>
      <c r="E7" s="146"/>
    </row>
    <row r="8" spans="1:5">
      <c r="A8" s="146"/>
      <c r="B8" s="146"/>
      <c r="C8" s="146"/>
      <c r="D8" s="146"/>
      <c r="E8" s="146"/>
    </row>
    <row r="9" spans="1:5">
      <c r="A9" s="146" t="s">
        <v>1540</v>
      </c>
      <c r="B9" s="146" t="s">
        <v>1501</v>
      </c>
      <c r="C9" s="146"/>
      <c r="D9" s="146" t="s">
        <v>1501</v>
      </c>
      <c r="E9" s="146"/>
    </row>
    <row r="10" spans="1:5">
      <c r="A10" s="146" t="s">
        <v>1504</v>
      </c>
      <c r="B10" s="146" t="s">
        <v>303</v>
      </c>
      <c r="C10" s="146"/>
      <c r="D10" s="146" t="s">
        <v>303</v>
      </c>
      <c r="E10" s="146"/>
    </row>
    <row r="11" spans="1:5">
      <c r="A11" s="146" t="s">
        <v>1539</v>
      </c>
      <c r="B11" s="146" t="s">
        <v>312</v>
      </c>
      <c r="C11" s="146"/>
      <c r="D11" s="146" t="s">
        <v>312</v>
      </c>
      <c r="E11" s="146"/>
    </row>
    <row r="12" spans="1:5">
      <c r="A12" s="146" t="s">
        <v>1751</v>
      </c>
      <c r="B12" s="146" t="s">
        <v>1756</v>
      </c>
      <c r="C12" s="146"/>
      <c r="D12" s="146" t="s">
        <v>1756</v>
      </c>
      <c r="E12" s="146"/>
    </row>
    <row r="13" spans="1:5">
      <c r="A13" s="146" t="s">
        <v>1542</v>
      </c>
      <c r="B13" s="146" t="s">
        <v>313</v>
      </c>
      <c r="C13" s="146"/>
      <c r="D13" s="146" t="s">
        <v>313</v>
      </c>
      <c r="E13" s="146"/>
    </row>
    <row r="14" spans="1:5">
      <c r="A14" s="146" t="s">
        <v>1711</v>
      </c>
      <c r="B14" s="146" t="s">
        <v>1712</v>
      </c>
      <c r="C14" s="146"/>
      <c r="D14" s="146" t="s">
        <v>1712</v>
      </c>
      <c r="E14" s="146"/>
    </row>
    <row r="15" spans="1:5">
      <c r="A15" s="146" t="s">
        <v>1546</v>
      </c>
      <c r="B15" s="146" t="s">
        <v>320</v>
      </c>
      <c r="C15" s="146"/>
      <c r="D15" s="146" t="s">
        <v>320</v>
      </c>
      <c r="E15" s="146"/>
    </row>
    <row r="16" spans="1:5">
      <c r="A16" s="146" t="s">
        <v>1547</v>
      </c>
      <c r="B16" s="146" t="s">
        <v>321</v>
      </c>
      <c r="C16" s="146"/>
      <c r="D16" s="146" t="s">
        <v>321</v>
      </c>
      <c r="E16" s="146"/>
    </row>
    <row r="17" spans="1:5">
      <c r="A17" s="146"/>
      <c r="B17" s="146"/>
      <c r="C17" s="146"/>
      <c r="D17" s="146"/>
      <c r="E17" s="146"/>
    </row>
    <row r="18" spans="1:5">
      <c r="A18" s="146" t="s">
        <v>1545</v>
      </c>
      <c r="B18" s="146" t="s">
        <v>1501</v>
      </c>
      <c r="C18" s="146"/>
      <c r="D18" s="146" t="s">
        <v>1501</v>
      </c>
      <c r="E18" s="146"/>
    </row>
    <row r="19" spans="1:5">
      <c r="A19" s="146" t="s">
        <v>1507</v>
      </c>
      <c r="B19" s="146" t="s">
        <v>305</v>
      </c>
      <c r="C19" s="146" t="s">
        <v>2191</v>
      </c>
      <c r="D19" s="146" t="s">
        <v>1893</v>
      </c>
      <c r="E19" s="146" t="s">
        <v>1894</v>
      </c>
    </row>
    <row r="20" spans="1:5">
      <c r="A20" s="146" t="s">
        <v>1505</v>
      </c>
      <c r="B20" s="146" t="s">
        <v>1500</v>
      </c>
      <c r="C20" s="146" t="s">
        <v>1895</v>
      </c>
      <c r="D20" s="146" t="s">
        <v>1896</v>
      </c>
      <c r="E20" s="146" t="s">
        <v>1897</v>
      </c>
    </row>
    <row r="21" spans="1:5">
      <c r="A21" s="146" t="s">
        <v>1557</v>
      </c>
      <c r="B21" s="146" t="s">
        <v>1516</v>
      </c>
      <c r="C21" s="146"/>
      <c r="D21" s="146" t="s">
        <v>1516</v>
      </c>
      <c r="E21" s="146"/>
    </row>
    <row r="22" spans="1:5">
      <c r="A22" s="146" t="s">
        <v>1558</v>
      </c>
      <c r="B22" s="146" t="s">
        <v>1517</v>
      </c>
      <c r="C22" s="146"/>
      <c r="D22" s="146" t="s">
        <v>1517</v>
      </c>
      <c r="E22" s="146"/>
    </row>
    <row r="23" spans="1:5">
      <c r="A23" s="146" t="s">
        <v>1713</v>
      </c>
      <c r="B23" s="146" t="s">
        <v>1714</v>
      </c>
      <c r="C23" s="146"/>
      <c r="D23" s="146" t="s">
        <v>1714</v>
      </c>
      <c r="E23" s="146"/>
    </row>
    <row r="24" spans="1:5">
      <c r="A24" s="146" t="s">
        <v>1559</v>
      </c>
      <c r="B24" s="146" t="s">
        <v>1518</v>
      </c>
      <c r="C24" s="146"/>
      <c r="D24" s="146" t="s">
        <v>1518</v>
      </c>
      <c r="E24" s="146"/>
    </row>
    <row r="25" spans="1:5">
      <c r="A25" s="146" t="s">
        <v>1560</v>
      </c>
      <c r="B25" s="146" t="s">
        <v>1519</v>
      </c>
      <c r="C25" s="146"/>
      <c r="D25" s="146" t="s">
        <v>1519</v>
      </c>
      <c r="E25" s="146"/>
    </row>
    <row r="26" spans="1:5">
      <c r="A26" s="146" t="s">
        <v>1566</v>
      </c>
      <c r="B26" s="146" t="s">
        <v>1520</v>
      </c>
      <c r="C26" s="146"/>
      <c r="D26" s="146" t="s">
        <v>1520</v>
      </c>
      <c r="E26" s="146"/>
    </row>
    <row r="27" spans="1:5">
      <c r="A27" s="146" t="s">
        <v>1567</v>
      </c>
      <c r="B27" s="146" t="s">
        <v>1521</v>
      </c>
      <c r="C27" s="146"/>
      <c r="D27" s="146" t="s">
        <v>1521</v>
      </c>
      <c r="E27" s="146"/>
    </row>
    <row r="28" spans="1:5">
      <c r="A28" s="146" t="s">
        <v>1568</v>
      </c>
      <c r="B28" s="146" t="s">
        <v>1522</v>
      </c>
      <c r="C28" s="146"/>
      <c r="D28" s="146" t="s">
        <v>1522</v>
      </c>
      <c r="E28" s="146"/>
    </row>
    <row r="29" spans="1:5">
      <c r="A29" s="146" t="s">
        <v>1569</v>
      </c>
      <c r="B29" s="146" t="s">
        <v>329</v>
      </c>
      <c r="C29" s="146" t="s">
        <v>1898</v>
      </c>
      <c r="D29" s="146" t="s">
        <v>1899</v>
      </c>
      <c r="E29" s="146" t="s">
        <v>1900</v>
      </c>
    </row>
    <row r="30" spans="1:5">
      <c r="A30" s="146" t="s">
        <v>1570</v>
      </c>
      <c r="B30" s="146" t="s">
        <v>330</v>
      </c>
      <c r="C30" s="146" t="s">
        <v>1901</v>
      </c>
      <c r="D30" s="146" t="s">
        <v>1902</v>
      </c>
      <c r="E30" s="146" t="s">
        <v>1903</v>
      </c>
    </row>
    <row r="31" spans="1:5">
      <c r="A31" s="146" t="s">
        <v>1574</v>
      </c>
      <c r="B31" s="146" t="s">
        <v>1523</v>
      </c>
      <c r="C31" s="146"/>
      <c r="D31" s="146" t="s">
        <v>1523</v>
      </c>
      <c r="E31" s="146"/>
    </row>
    <row r="32" spans="1:5">
      <c r="A32" s="146" t="s">
        <v>2064</v>
      </c>
      <c r="B32" s="146" t="s">
        <v>2065</v>
      </c>
      <c r="C32" s="146" t="s">
        <v>2195</v>
      </c>
      <c r="D32" s="146" t="s">
        <v>2196</v>
      </c>
      <c r="E32" s="146" t="s">
        <v>1904</v>
      </c>
    </row>
    <row r="33" spans="1:5">
      <c r="A33" s="146" t="s">
        <v>1715</v>
      </c>
      <c r="B33" s="146" t="s">
        <v>1716</v>
      </c>
      <c r="C33" s="146" t="s">
        <v>1905</v>
      </c>
      <c r="D33" s="146" t="s">
        <v>1906</v>
      </c>
      <c r="E33" s="146"/>
    </row>
    <row r="34" spans="1:5">
      <c r="A34" s="146" t="s">
        <v>1506</v>
      </c>
      <c r="B34" s="146" t="s">
        <v>304</v>
      </c>
      <c r="C34" s="146" t="s">
        <v>1907</v>
      </c>
      <c r="D34" s="146" t="s">
        <v>1908</v>
      </c>
      <c r="E34" s="146" t="s">
        <v>1909</v>
      </c>
    </row>
    <row r="35" spans="1:5">
      <c r="A35" s="146" t="s">
        <v>1717</v>
      </c>
      <c r="B35" s="146" t="s">
        <v>1718</v>
      </c>
      <c r="C35" s="146" t="s">
        <v>1910</v>
      </c>
      <c r="D35" s="146" t="s">
        <v>1911</v>
      </c>
      <c r="E35" s="146" t="s">
        <v>1912</v>
      </c>
    </row>
    <row r="36" spans="1:5">
      <c r="A36" s="146" t="s">
        <v>1719</v>
      </c>
      <c r="B36" s="146" t="s">
        <v>1720</v>
      </c>
      <c r="C36" s="146" t="s">
        <v>1913</v>
      </c>
      <c r="D36" s="146" t="s">
        <v>1914</v>
      </c>
      <c r="E36" s="146" t="s">
        <v>1915</v>
      </c>
    </row>
    <row r="37" spans="1:5">
      <c r="A37" s="146" t="s">
        <v>1508</v>
      </c>
      <c r="B37" s="146" t="s">
        <v>306</v>
      </c>
      <c r="C37" s="146" t="s">
        <v>1916</v>
      </c>
      <c r="D37" s="146" t="s">
        <v>1917</v>
      </c>
      <c r="E37" s="146" t="s">
        <v>1918</v>
      </c>
    </row>
    <row r="38" spans="1:5">
      <c r="A38" s="146" t="s">
        <v>1575</v>
      </c>
      <c r="B38" s="146" t="s">
        <v>1515</v>
      </c>
      <c r="C38" s="146"/>
      <c r="D38" s="146" t="s">
        <v>1515</v>
      </c>
      <c r="E38" s="146"/>
    </row>
    <row r="39" spans="1:5">
      <c r="A39" s="146" t="s">
        <v>1550</v>
      </c>
      <c r="B39" s="146" t="s">
        <v>1513</v>
      </c>
      <c r="C39" s="146"/>
      <c r="D39" s="146" t="s">
        <v>1513</v>
      </c>
      <c r="E39" s="146"/>
    </row>
    <row r="40" spans="1:5">
      <c r="A40" s="146" t="s">
        <v>1509</v>
      </c>
      <c r="B40" s="146" t="s">
        <v>307</v>
      </c>
      <c r="C40" s="146"/>
      <c r="D40" s="146" t="s">
        <v>307</v>
      </c>
      <c r="E40" s="146"/>
    </row>
    <row r="41" spans="1:5">
      <c r="A41" s="146" t="s">
        <v>1551</v>
      </c>
      <c r="B41" s="146" t="s">
        <v>1514</v>
      </c>
      <c r="C41" s="146"/>
      <c r="D41" s="146" t="s">
        <v>1514</v>
      </c>
      <c r="E41" s="146"/>
    </row>
    <row r="42" spans="1:5">
      <c r="A42" s="146" t="s">
        <v>1549</v>
      </c>
      <c r="B42" s="146" t="s">
        <v>323</v>
      </c>
      <c r="C42" s="146"/>
      <c r="D42" s="146" t="s">
        <v>323</v>
      </c>
      <c r="E42" s="146"/>
    </row>
    <row r="43" spans="1:5">
      <c r="A43" s="146" t="s">
        <v>1561</v>
      </c>
      <c r="B43" s="146" t="s">
        <v>322</v>
      </c>
      <c r="C43" s="146"/>
      <c r="D43" s="146" t="s">
        <v>322</v>
      </c>
      <c r="E43" s="146"/>
    </row>
    <row r="44" spans="1:5">
      <c r="A44" s="146"/>
      <c r="B44" s="146"/>
      <c r="C44" s="146"/>
      <c r="D44" s="146"/>
      <c r="E44" s="146"/>
    </row>
    <row r="45" spans="1:5">
      <c r="A45" s="146" t="s">
        <v>1543</v>
      </c>
      <c r="B45" s="146" t="s">
        <v>1501</v>
      </c>
      <c r="C45" s="146"/>
      <c r="D45" s="146" t="s">
        <v>1501</v>
      </c>
      <c r="E45" s="146"/>
    </row>
    <row r="46" spans="1:5">
      <c r="A46" s="146" t="s">
        <v>1510</v>
      </c>
      <c r="B46" s="146" t="s">
        <v>308</v>
      </c>
      <c r="C46" s="146"/>
      <c r="D46" s="146" t="s">
        <v>308</v>
      </c>
      <c r="E46" s="146"/>
    </row>
    <row r="47" spans="1:5">
      <c r="A47" s="146" t="s">
        <v>1511</v>
      </c>
      <c r="B47" s="146" t="s">
        <v>309</v>
      </c>
      <c r="C47" s="146"/>
      <c r="D47" s="146" t="s">
        <v>309</v>
      </c>
      <c r="E47" s="146"/>
    </row>
    <row r="48" spans="1:5">
      <c r="A48" s="146" t="s">
        <v>1544</v>
      </c>
      <c r="B48" s="146" t="s">
        <v>310</v>
      </c>
      <c r="C48" s="146"/>
      <c r="D48" s="146" t="s">
        <v>310</v>
      </c>
      <c r="E48" s="146"/>
    </row>
    <row r="49" spans="1:5">
      <c r="A49" s="146" t="s">
        <v>1562</v>
      </c>
      <c r="B49" s="146" t="s">
        <v>319</v>
      </c>
      <c r="C49" s="146"/>
      <c r="D49" s="146" t="s">
        <v>319</v>
      </c>
      <c r="E49" s="146"/>
    </row>
    <row r="50" spans="1:5">
      <c r="A50" s="146"/>
      <c r="B50" s="146"/>
      <c r="C50" s="146"/>
      <c r="D50" s="146"/>
      <c r="E50" s="146"/>
    </row>
    <row r="51" spans="1:5">
      <c r="A51" s="146" t="s">
        <v>1548</v>
      </c>
      <c r="B51" s="146" t="s">
        <v>1501</v>
      </c>
      <c r="C51" s="146"/>
      <c r="D51" s="146" t="s">
        <v>1501</v>
      </c>
      <c r="E51" s="146"/>
    </row>
    <row r="52" spans="1:5">
      <c r="A52" s="146" t="s">
        <v>1552</v>
      </c>
      <c r="B52" s="146" t="s">
        <v>317</v>
      </c>
      <c r="C52" s="146" t="s">
        <v>1919</v>
      </c>
      <c r="D52" s="146" t="s">
        <v>1920</v>
      </c>
      <c r="E52" s="146" t="s">
        <v>1921</v>
      </c>
    </row>
    <row r="53" spans="1:5">
      <c r="A53" s="146" t="s">
        <v>1553</v>
      </c>
      <c r="B53" s="146" t="s">
        <v>318</v>
      </c>
      <c r="C53" s="146" t="s">
        <v>1922</v>
      </c>
      <c r="D53" s="146" t="s">
        <v>1923</v>
      </c>
      <c r="E53" s="146" t="s">
        <v>1924</v>
      </c>
    </row>
    <row r="54" spans="1:5">
      <c r="A54" s="146" t="s">
        <v>1554</v>
      </c>
      <c r="B54" s="146" t="s">
        <v>314</v>
      </c>
      <c r="C54" s="146"/>
      <c r="D54" s="146" t="s">
        <v>314</v>
      </c>
      <c r="E54" s="146"/>
    </row>
    <row r="55" spans="1:5">
      <c r="A55" s="146" t="s">
        <v>1555</v>
      </c>
      <c r="B55" s="146" t="s">
        <v>315</v>
      </c>
      <c r="C55" s="146"/>
      <c r="D55" s="146" t="s">
        <v>315</v>
      </c>
      <c r="E55" s="146"/>
    </row>
    <row r="56" spans="1:5">
      <c r="A56" s="146" t="s">
        <v>1556</v>
      </c>
      <c r="B56" s="146" t="s">
        <v>316</v>
      </c>
      <c r="C56" s="146"/>
      <c r="D56" s="146" t="s">
        <v>316</v>
      </c>
      <c r="E56" s="146"/>
    </row>
    <row r="57" spans="1:5">
      <c r="A57" s="146" t="s">
        <v>1752</v>
      </c>
      <c r="B57" s="146" t="s">
        <v>1757</v>
      </c>
      <c r="C57" s="146"/>
      <c r="D57" s="146" t="s">
        <v>1757</v>
      </c>
      <c r="E57" s="146"/>
    </row>
    <row r="58" spans="1:5">
      <c r="A58" s="146"/>
      <c r="B58" s="146"/>
      <c r="C58" s="146"/>
      <c r="D58" s="146"/>
      <c r="E58" s="146"/>
    </row>
    <row r="59" spans="1:5">
      <c r="A59" s="146" t="s">
        <v>1563</v>
      </c>
      <c r="B59" s="146" t="s">
        <v>1501</v>
      </c>
      <c r="C59" s="146"/>
      <c r="D59" s="146" t="s">
        <v>1501</v>
      </c>
      <c r="E59" s="146"/>
    </row>
    <row r="60" spans="1:5">
      <c r="A60" s="146" t="s">
        <v>1564</v>
      </c>
      <c r="B60" s="146" t="s">
        <v>325</v>
      </c>
      <c r="C60" s="146"/>
      <c r="D60" s="146" t="s">
        <v>325</v>
      </c>
      <c r="E60" s="146"/>
    </row>
    <row r="61" spans="1:5">
      <c r="A61" s="146" t="s">
        <v>1565</v>
      </c>
      <c r="B61" s="146" t="s">
        <v>326</v>
      </c>
      <c r="C61" s="146"/>
      <c r="D61" s="146" t="s">
        <v>326</v>
      </c>
      <c r="E61" s="146"/>
    </row>
    <row r="62" spans="1:5">
      <c r="A62" s="146"/>
      <c r="B62" s="146"/>
      <c r="C62" s="146"/>
      <c r="D62" s="146"/>
      <c r="E62" s="146"/>
    </row>
    <row r="63" spans="1:5">
      <c r="A63" s="146" t="s">
        <v>1576</v>
      </c>
      <c r="B63" s="146" t="s">
        <v>1501</v>
      </c>
      <c r="C63" s="146"/>
      <c r="D63" s="146" t="s">
        <v>1501</v>
      </c>
      <c r="E63" s="146"/>
    </row>
    <row r="64" spans="1:5">
      <c r="A64" s="146" t="s">
        <v>1571</v>
      </c>
      <c r="B64" s="146" t="s">
        <v>324</v>
      </c>
      <c r="C64" s="146"/>
      <c r="D64" s="146" t="s">
        <v>324</v>
      </c>
      <c r="E64" s="146"/>
    </row>
    <row r="65" spans="1:5">
      <c r="A65" s="146" t="s">
        <v>1572</v>
      </c>
      <c r="B65" s="146" t="s">
        <v>327</v>
      </c>
      <c r="C65" s="146"/>
      <c r="D65" s="146" t="s">
        <v>327</v>
      </c>
      <c r="E65" s="146"/>
    </row>
    <row r="66" spans="1:5">
      <c r="A66" s="146" t="s">
        <v>1573</v>
      </c>
      <c r="B66" s="146" t="s">
        <v>328</v>
      </c>
      <c r="C66" s="146"/>
      <c r="D66" s="146" t="s">
        <v>328</v>
      </c>
      <c r="E66" s="146"/>
    </row>
    <row r="67" spans="1:5">
      <c r="A67" s="146" t="s">
        <v>1753</v>
      </c>
      <c r="B67" s="146" t="s">
        <v>1758</v>
      </c>
      <c r="C67" s="146"/>
      <c r="D67" s="146" t="s">
        <v>1758</v>
      </c>
      <c r="E67" s="146"/>
    </row>
    <row r="68" spans="1:5">
      <c r="A68" s="146" t="s">
        <v>1754</v>
      </c>
      <c r="B68" s="146" t="s">
        <v>1759</v>
      </c>
      <c r="C68" s="146"/>
      <c r="D68" s="146" t="s">
        <v>1759</v>
      </c>
      <c r="E68" s="146"/>
    </row>
    <row r="69" spans="1:5">
      <c r="A69" s="146" t="s">
        <v>1755</v>
      </c>
      <c r="B69" s="146" t="s">
        <v>1760</v>
      </c>
      <c r="C69" s="146"/>
      <c r="D69" s="146" t="s">
        <v>1760</v>
      </c>
      <c r="E69" s="146"/>
    </row>
    <row r="70" spans="1:5">
      <c r="A70" s="146"/>
      <c r="B70" s="146"/>
      <c r="C70" s="146"/>
      <c r="D70" s="146"/>
      <c r="E70" s="146"/>
    </row>
    <row r="71" spans="1:5">
      <c r="A71" s="146" t="s">
        <v>1721</v>
      </c>
      <c r="B71" s="146" t="s">
        <v>1722</v>
      </c>
      <c r="C71" s="146"/>
      <c r="D71" s="146" t="s">
        <v>1722</v>
      </c>
      <c r="E71" s="146"/>
    </row>
  </sheetData>
  <mergeCells count="1">
    <mergeCell ref="A1:E1"/>
  </mergeCells>
  <conditionalFormatting sqref="B3:B71">
    <cfRule type="expression" dxfId="52" priority="11">
      <formula>LEN(B3) &gt;4</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0000"/>
  </sheetPr>
  <dimension ref="A1:J849"/>
  <sheetViews>
    <sheetView zoomScale="80" zoomScaleNormal="80" workbookViewId="0">
      <selection sqref="A1:J1"/>
    </sheetView>
  </sheetViews>
  <sheetFormatPr defaultColWidth="9.1796875" defaultRowHeight="14.5"/>
  <cols>
    <col min="1" max="1" width="19.7265625" customWidth="1"/>
    <col min="2" max="2" width="51.7265625" customWidth="1"/>
    <col min="3" max="3" width="9.26953125" bestFit="1" customWidth="1"/>
    <col min="4" max="6" width="6.453125" customWidth="1"/>
    <col min="7" max="7" width="20.7265625" customWidth="1"/>
    <col min="8" max="8" width="18.453125" customWidth="1"/>
    <col min="9" max="9" width="15.7265625" bestFit="1" customWidth="1"/>
    <col min="10" max="10" width="14.453125" customWidth="1"/>
    <col min="11" max="11" width="9.1796875" customWidth="1"/>
  </cols>
  <sheetData>
    <row r="1" spans="1:10" ht="23.5">
      <c r="A1" s="228" t="s">
        <v>268</v>
      </c>
      <c r="B1" s="229"/>
      <c r="C1" s="229"/>
      <c r="D1" s="229"/>
      <c r="E1" s="229"/>
      <c r="F1" s="229"/>
      <c r="G1" s="229"/>
      <c r="H1" s="229"/>
      <c r="I1" s="229"/>
      <c r="J1" s="229"/>
    </row>
    <row r="2" spans="1:10">
      <c r="A2" s="151" t="s">
        <v>283</v>
      </c>
      <c r="B2" s="152" t="s">
        <v>25</v>
      </c>
      <c r="C2" s="152" t="s">
        <v>284</v>
      </c>
      <c r="D2" s="152" t="s">
        <v>267</v>
      </c>
      <c r="E2" s="152" t="s">
        <v>266</v>
      </c>
      <c r="F2" s="152" t="s">
        <v>265</v>
      </c>
      <c r="G2" s="152" t="s">
        <v>264</v>
      </c>
      <c r="H2" s="152" t="s">
        <v>263</v>
      </c>
      <c r="I2" s="152" t="s">
        <v>262</v>
      </c>
      <c r="J2" s="153" t="s">
        <v>285</v>
      </c>
    </row>
    <row r="3" spans="1:10">
      <c r="A3" s="185" t="s">
        <v>174</v>
      </c>
      <c r="B3" s="185" t="s">
        <v>173</v>
      </c>
      <c r="C3" s="186" t="s">
        <v>174</v>
      </c>
      <c r="D3" s="185"/>
      <c r="E3" s="185"/>
      <c r="F3" s="185"/>
      <c r="G3" s="185"/>
      <c r="H3" s="187"/>
      <c r="I3" s="188"/>
      <c r="J3" s="189">
        <v>0.26</v>
      </c>
    </row>
    <row r="4" spans="1:10">
      <c r="A4" s="185" t="s">
        <v>143</v>
      </c>
      <c r="B4" s="185" t="s">
        <v>331</v>
      </c>
      <c r="C4" s="186" t="s">
        <v>143</v>
      </c>
      <c r="D4" s="185"/>
      <c r="E4" s="185"/>
      <c r="F4" s="185"/>
      <c r="G4" s="185"/>
      <c r="H4" s="187"/>
      <c r="I4" s="188"/>
      <c r="J4" s="189">
        <v>96.491228070175396</v>
      </c>
    </row>
    <row r="5" spans="1:10">
      <c r="A5" s="185" t="s">
        <v>142</v>
      </c>
      <c r="B5" s="185" t="s">
        <v>332</v>
      </c>
      <c r="C5" s="186" t="s">
        <v>142</v>
      </c>
      <c r="D5" s="185"/>
      <c r="E5" s="185"/>
      <c r="F5" s="185"/>
      <c r="G5" s="185"/>
      <c r="H5" s="187"/>
      <c r="I5" s="188"/>
      <c r="J5" s="189">
        <v>122.80701754386</v>
      </c>
    </row>
    <row r="6" spans="1:10">
      <c r="A6" s="185" t="s">
        <v>141</v>
      </c>
      <c r="B6" s="185" t="s">
        <v>333</v>
      </c>
      <c r="C6" s="186" t="s">
        <v>141</v>
      </c>
      <c r="D6" s="185"/>
      <c r="E6" s="185"/>
      <c r="F6" s="185"/>
      <c r="G6" s="185"/>
      <c r="H6" s="187"/>
      <c r="I6" s="188"/>
      <c r="J6" s="189">
        <v>122.80701754386</v>
      </c>
    </row>
    <row r="7" spans="1:10">
      <c r="A7" s="185" t="s">
        <v>220</v>
      </c>
      <c r="B7" s="185" t="s">
        <v>334</v>
      </c>
      <c r="C7" s="186" t="s">
        <v>220</v>
      </c>
      <c r="D7" s="185"/>
      <c r="E7" s="185"/>
      <c r="F7" s="185"/>
      <c r="G7" s="185"/>
      <c r="H7" s="187"/>
      <c r="I7" s="188"/>
      <c r="J7" s="189">
        <v>55</v>
      </c>
    </row>
    <row r="8" spans="1:10">
      <c r="A8" s="185" t="s">
        <v>218</v>
      </c>
      <c r="B8" s="185" t="s">
        <v>218</v>
      </c>
      <c r="C8" s="186" t="s">
        <v>218</v>
      </c>
      <c r="D8" s="185"/>
      <c r="E8" s="185"/>
      <c r="F8" s="185"/>
      <c r="G8" s="185"/>
      <c r="H8" s="187"/>
      <c r="I8" s="188"/>
      <c r="J8" s="189">
        <v>110</v>
      </c>
    </row>
    <row r="9" spans="1:10">
      <c r="A9" s="185" t="s">
        <v>216</v>
      </c>
      <c r="B9" s="185" t="s">
        <v>335</v>
      </c>
      <c r="C9" s="186" t="s">
        <v>216</v>
      </c>
      <c r="D9" s="185"/>
      <c r="E9" s="185"/>
      <c r="F9" s="185"/>
      <c r="G9" s="185"/>
      <c r="H9" s="187"/>
      <c r="I9" s="188"/>
      <c r="J9" s="189">
        <v>75</v>
      </c>
    </row>
    <row r="10" spans="1:10">
      <c r="A10" s="185" t="s">
        <v>1627</v>
      </c>
      <c r="B10" s="185" t="s">
        <v>1628</v>
      </c>
      <c r="C10" s="186" t="s">
        <v>180</v>
      </c>
      <c r="D10" s="185">
        <v>0</v>
      </c>
      <c r="E10" s="185" t="s">
        <v>365</v>
      </c>
      <c r="F10" s="185">
        <v>2100</v>
      </c>
      <c r="G10" s="185"/>
      <c r="H10" s="187"/>
      <c r="I10" s="188"/>
      <c r="J10" s="189">
        <v>1.4285714285714299</v>
      </c>
    </row>
    <row r="11" spans="1:10">
      <c r="A11" s="185" t="s">
        <v>1629</v>
      </c>
      <c r="B11" s="185" t="s">
        <v>1630</v>
      </c>
      <c r="C11" s="186" t="s">
        <v>180</v>
      </c>
      <c r="D11" s="185">
        <v>0</v>
      </c>
      <c r="E11" s="185" t="s">
        <v>365</v>
      </c>
      <c r="F11" s="185">
        <v>2700</v>
      </c>
      <c r="G11" s="185"/>
      <c r="H11" s="187"/>
      <c r="I11" s="188"/>
      <c r="J11" s="189">
        <v>96.491228070175396</v>
      </c>
    </row>
    <row r="12" spans="1:10">
      <c r="A12" s="185" t="s">
        <v>1631</v>
      </c>
      <c r="B12" s="185" t="s">
        <v>1626</v>
      </c>
      <c r="C12" s="186" t="s">
        <v>180</v>
      </c>
      <c r="D12" s="185">
        <v>0</v>
      </c>
      <c r="E12" s="185" t="s">
        <v>365</v>
      </c>
      <c r="F12" s="185">
        <v>1300</v>
      </c>
      <c r="G12" s="185"/>
      <c r="H12" s="187"/>
      <c r="I12" s="188"/>
      <c r="J12" s="189">
        <v>96.491228070175396</v>
      </c>
    </row>
    <row r="13" spans="1:10">
      <c r="A13" s="185" t="s">
        <v>1632</v>
      </c>
      <c r="B13" s="185" t="s">
        <v>1633</v>
      </c>
      <c r="C13" s="186" t="s">
        <v>180</v>
      </c>
      <c r="D13" s="185">
        <v>0</v>
      </c>
      <c r="E13" s="185" t="s">
        <v>365</v>
      </c>
      <c r="F13" s="185">
        <v>2100</v>
      </c>
      <c r="G13" s="185"/>
      <c r="H13" s="187"/>
      <c r="I13" s="188"/>
      <c r="J13" s="189">
        <v>122.80701754386</v>
      </c>
    </row>
    <row r="14" spans="1:10">
      <c r="A14" s="185" t="s">
        <v>1634</v>
      </c>
      <c r="B14" s="185" t="s">
        <v>1635</v>
      </c>
      <c r="C14" s="186" t="s">
        <v>180</v>
      </c>
      <c r="D14" s="185">
        <v>0</v>
      </c>
      <c r="E14" s="185" t="s">
        <v>365</v>
      </c>
      <c r="F14" s="185">
        <v>2100</v>
      </c>
      <c r="G14" s="185"/>
      <c r="H14" s="187"/>
      <c r="I14" s="188"/>
      <c r="J14" s="189">
        <v>149.12280701754401</v>
      </c>
    </row>
    <row r="15" spans="1:10">
      <c r="A15" s="185" t="s">
        <v>1636</v>
      </c>
      <c r="B15" s="185" t="s">
        <v>1637</v>
      </c>
      <c r="C15" s="186" t="s">
        <v>180</v>
      </c>
      <c r="D15" s="185">
        <v>0</v>
      </c>
      <c r="E15" s="185" t="s">
        <v>365</v>
      </c>
      <c r="F15" s="185">
        <v>2100</v>
      </c>
      <c r="G15" s="185"/>
      <c r="H15" s="187"/>
      <c r="I15" s="188"/>
      <c r="J15" s="189">
        <v>105.26315789473701</v>
      </c>
    </row>
    <row r="16" spans="1:10">
      <c r="A16" s="185" t="s">
        <v>1638</v>
      </c>
      <c r="B16" s="185" t="s">
        <v>1639</v>
      </c>
      <c r="C16" s="186" t="s">
        <v>180</v>
      </c>
      <c r="D16" s="185">
        <v>0</v>
      </c>
      <c r="E16" s="185" t="s">
        <v>365</v>
      </c>
      <c r="F16" s="185">
        <v>2100</v>
      </c>
      <c r="G16" s="185"/>
      <c r="H16" s="187"/>
      <c r="I16" s="188"/>
      <c r="J16" s="189">
        <v>192.98245614035099</v>
      </c>
    </row>
    <row r="17" spans="1:10">
      <c r="A17" s="185" t="s">
        <v>1640</v>
      </c>
      <c r="B17" s="185" t="s">
        <v>1641</v>
      </c>
      <c r="C17" s="186" t="s">
        <v>180</v>
      </c>
      <c r="D17" s="185">
        <v>0</v>
      </c>
      <c r="E17" s="185" t="s">
        <v>365</v>
      </c>
      <c r="F17" s="185">
        <v>2100</v>
      </c>
      <c r="G17" s="185"/>
      <c r="H17" s="187"/>
      <c r="I17" s="188"/>
      <c r="J17" s="189">
        <v>131.57894736842101</v>
      </c>
    </row>
    <row r="18" spans="1:10">
      <c r="A18" s="185" t="s">
        <v>1642</v>
      </c>
      <c r="B18" s="185" t="s">
        <v>1643</v>
      </c>
      <c r="C18" s="186" t="s">
        <v>180</v>
      </c>
      <c r="D18" s="185">
        <v>0</v>
      </c>
      <c r="E18" s="185" t="s">
        <v>365</v>
      </c>
      <c r="F18" s="185">
        <v>1100</v>
      </c>
      <c r="G18" s="185"/>
      <c r="H18" s="187"/>
      <c r="I18" s="188"/>
      <c r="J18" s="189">
        <v>157.894736842105</v>
      </c>
    </row>
    <row r="19" spans="1:10">
      <c r="A19" s="185" t="s">
        <v>1644</v>
      </c>
      <c r="B19" s="185" t="s">
        <v>1645</v>
      </c>
      <c r="C19" s="186" t="s">
        <v>180</v>
      </c>
      <c r="D19" s="185">
        <v>0</v>
      </c>
      <c r="E19" s="185" t="s">
        <v>365</v>
      </c>
      <c r="F19" s="185">
        <v>3100</v>
      </c>
      <c r="G19" s="185"/>
      <c r="H19" s="187"/>
      <c r="I19" s="188"/>
      <c r="J19" s="189">
        <v>96.491228070175396</v>
      </c>
    </row>
    <row r="20" spans="1:10">
      <c r="A20" s="185" t="s">
        <v>148</v>
      </c>
      <c r="B20" s="185" t="s">
        <v>337</v>
      </c>
      <c r="C20" s="186" t="s">
        <v>180</v>
      </c>
      <c r="D20" s="185" t="s">
        <v>1646</v>
      </c>
      <c r="E20" s="185"/>
      <c r="F20" s="185">
        <v>2150</v>
      </c>
      <c r="G20" s="185" t="s">
        <v>338</v>
      </c>
      <c r="H20" s="187"/>
      <c r="I20" s="188"/>
      <c r="J20" s="189">
        <v>6.3333333333333304</v>
      </c>
    </row>
    <row r="21" spans="1:10">
      <c r="A21" s="185" t="s">
        <v>339</v>
      </c>
      <c r="B21" s="185" t="s">
        <v>340</v>
      </c>
      <c r="C21" s="186" t="s">
        <v>180</v>
      </c>
      <c r="D21" s="185" t="s">
        <v>1646</v>
      </c>
      <c r="E21" s="185"/>
      <c r="F21" s="185">
        <v>2150</v>
      </c>
      <c r="G21" s="185" t="s">
        <v>338</v>
      </c>
      <c r="H21" s="187"/>
      <c r="I21" s="188"/>
      <c r="J21" s="189">
        <v>6.3333333333333304</v>
      </c>
    </row>
    <row r="22" spans="1:10">
      <c r="A22" s="185" t="s">
        <v>341</v>
      </c>
      <c r="B22" s="185" t="s">
        <v>342</v>
      </c>
      <c r="C22" s="186" t="s">
        <v>180</v>
      </c>
      <c r="D22" s="185" t="s">
        <v>1646</v>
      </c>
      <c r="E22" s="185"/>
      <c r="F22" s="185">
        <v>2150</v>
      </c>
      <c r="G22" s="185" t="s">
        <v>338</v>
      </c>
      <c r="H22" s="187"/>
      <c r="I22" s="188"/>
      <c r="J22" s="189">
        <v>6.3333333333333304</v>
      </c>
    </row>
    <row r="23" spans="1:10">
      <c r="A23" s="185" t="s">
        <v>343</v>
      </c>
      <c r="B23" s="185" t="s">
        <v>344</v>
      </c>
      <c r="C23" s="186" t="s">
        <v>180</v>
      </c>
      <c r="D23" s="185">
        <v>0</v>
      </c>
      <c r="E23" s="185"/>
      <c r="F23" s="185">
        <v>2150</v>
      </c>
      <c r="G23" s="185" t="s">
        <v>338</v>
      </c>
      <c r="H23" s="187"/>
      <c r="I23" s="188"/>
      <c r="J23" s="189">
        <v>4.6666666666666696</v>
      </c>
    </row>
    <row r="24" spans="1:10">
      <c r="A24" s="185" t="s">
        <v>345</v>
      </c>
      <c r="B24" s="185" t="s">
        <v>346</v>
      </c>
      <c r="C24" s="186" t="s">
        <v>180</v>
      </c>
      <c r="D24" s="185">
        <v>0</v>
      </c>
      <c r="E24" s="185"/>
      <c r="F24" s="185">
        <v>4150</v>
      </c>
      <c r="G24" s="185" t="s">
        <v>357</v>
      </c>
      <c r="H24" s="187"/>
      <c r="I24" s="188"/>
      <c r="J24" s="189">
        <v>1.8888888888888899</v>
      </c>
    </row>
    <row r="25" spans="1:10">
      <c r="A25" s="185" t="s">
        <v>348</v>
      </c>
      <c r="B25" s="185" t="s">
        <v>349</v>
      </c>
      <c r="C25" s="186" t="s">
        <v>180</v>
      </c>
      <c r="D25" s="185">
        <v>0</v>
      </c>
      <c r="E25" s="185"/>
      <c r="F25" s="185">
        <v>4150</v>
      </c>
      <c r="G25" s="185" t="s">
        <v>357</v>
      </c>
      <c r="H25" s="187"/>
      <c r="I25" s="188"/>
      <c r="J25" s="189">
        <v>4.1111111111111098</v>
      </c>
    </row>
    <row r="26" spans="1:10">
      <c r="A26" s="185" t="s">
        <v>350</v>
      </c>
      <c r="B26" s="185" t="s">
        <v>351</v>
      </c>
      <c r="C26" s="186" t="s">
        <v>180</v>
      </c>
      <c r="D26" s="185">
        <v>0</v>
      </c>
      <c r="E26" s="185"/>
      <c r="F26" s="185">
        <v>2150</v>
      </c>
      <c r="G26" s="185" t="s">
        <v>352</v>
      </c>
      <c r="H26" s="187"/>
      <c r="I26" s="188"/>
      <c r="J26" s="189">
        <v>5.0333333333333297</v>
      </c>
    </row>
    <row r="27" spans="1:10">
      <c r="A27" s="185" t="s">
        <v>353</v>
      </c>
      <c r="B27" s="185" t="s">
        <v>354</v>
      </c>
      <c r="C27" s="186" t="s">
        <v>180</v>
      </c>
      <c r="D27" s="185">
        <v>0</v>
      </c>
      <c r="E27" s="185"/>
      <c r="F27" s="185">
        <v>4150</v>
      </c>
      <c r="G27" s="185" t="s">
        <v>357</v>
      </c>
      <c r="H27" s="187"/>
      <c r="I27" s="188"/>
      <c r="J27" s="189">
        <v>3.11111111111111E-2</v>
      </c>
    </row>
    <row r="28" spans="1:10">
      <c r="A28" s="185" t="s">
        <v>355</v>
      </c>
      <c r="B28" s="185" t="s">
        <v>356</v>
      </c>
      <c r="C28" s="186" t="s">
        <v>180</v>
      </c>
      <c r="D28" s="185">
        <v>0</v>
      </c>
      <c r="E28" s="185"/>
      <c r="F28" s="185">
        <v>4150</v>
      </c>
      <c r="G28" s="185" t="s">
        <v>357</v>
      </c>
      <c r="H28" s="187"/>
      <c r="I28" s="188"/>
      <c r="J28" s="189">
        <v>129.24444444444401</v>
      </c>
    </row>
    <row r="29" spans="1:10">
      <c r="A29" s="185" t="s">
        <v>358</v>
      </c>
      <c r="B29" s="185" t="s">
        <v>359</v>
      </c>
      <c r="C29" s="186" t="s">
        <v>180</v>
      </c>
      <c r="D29" s="185" t="s">
        <v>360</v>
      </c>
      <c r="E29" s="185"/>
      <c r="F29" s="185">
        <v>4150</v>
      </c>
      <c r="G29" s="185" t="s">
        <v>357</v>
      </c>
      <c r="H29" s="187"/>
      <c r="I29" s="188"/>
      <c r="J29" s="189">
        <v>296.84444444444398</v>
      </c>
    </row>
    <row r="30" spans="1:10">
      <c r="A30" s="185" t="s">
        <v>361</v>
      </c>
      <c r="B30" s="185" t="s">
        <v>362</v>
      </c>
      <c r="C30" s="186" t="s">
        <v>180</v>
      </c>
      <c r="D30" s="185">
        <v>0</v>
      </c>
      <c r="E30" s="185"/>
      <c r="F30" s="185">
        <v>2150</v>
      </c>
      <c r="G30" s="185" t="s">
        <v>352</v>
      </c>
      <c r="H30" s="187"/>
      <c r="I30" s="188"/>
      <c r="J30" s="189">
        <v>9.9499999999999993</v>
      </c>
    </row>
    <row r="31" spans="1:10">
      <c r="A31" s="185" t="s">
        <v>363</v>
      </c>
      <c r="B31" s="185" t="s">
        <v>364</v>
      </c>
      <c r="C31" s="186" t="s">
        <v>176</v>
      </c>
      <c r="D31" s="185">
        <v>0</v>
      </c>
      <c r="E31" s="185" t="s">
        <v>365</v>
      </c>
      <c r="F31" s="185">
        <v>2150</v>
      </c>
      <c r="G31" s="185" t="s">
        <v>366</v>
      </c>
      <c r="H31" s="187"/>
      <c r="I31" s="188"/>
      <c r="J31" s="189">
        <v>0.7</v>
      </c>
    </row>
    <row r="32" spans="1:10">
      <c r="A32" s="185" t="s">
        <v>367</v>
      </c>
      <c r="B32" s="185" t="s">
        <v>368</v>
      </c>
      <c r="C32" s="186" t="s">
        <v>176</v>
      </c>
      <c r="D32" s="185">
        <v>0</v>
      </c>
      <c r="E32" s="185" t="s">
        <v>365</v>
      </c>
      <c r="F32" s="185">
        <v>2150</v>
      </c>
      <c r="G32" s="185" t="s">
        <v>369</v>
      </c>
      <c r="H32" s="187"/>
      <c r="I32" s="188"/>
      <c r="J32" s="189">
        <v>0.8</v>
      </c>
    </row>
    <row r="33" spans="1:10">
      <c r="A33" s="185" t="s">
        <v>370</v>
      </c>
      <c r="B33" s="185" t="s">
        <v>371</v>
      </c>
      <c r="C33" s="186" t="s">
        <v>176</v>
      </c>
      <c r="D33" s="185">
        <v>0</v>
      </c>
      <c r="E33" s="185" t="s">
        <v>365</v>
      </c>
      <c r="F33" s="185">
        <v>2150</v>
      </c>
      <c r="G33" s="185" t="s">
        <v>369</v>
      </c>
      <c r="H33" s="187"/>
      <c r="I33" s="188"/>
      <c r="J33" s="189">
        <v>0.8</v>
      </c>
    </row>
    <row r="34" spans="1:10">
      <c r="A34" s="185" t="s">
        <v>372</v>
      </c>
      <c r="B34" s="185" t="s">
        <v>373</v>
      </c>
      <c r="C34" s="186" t="s">
        <v>180</v>
      </c>
      <c r="D34" s="185">
        <v>0</v>
      </c>
      <c r="E34" s="185"/>
      <c r="F34" s="185">
        <v>4150</v>
      </c>
      <c r="G34" s="185" t="s">
        <v>347</v>
      </c>
      <c r="H34" s="187"/>
      <c r="I34" s="188"/>
      <c r="J34" s="189">
        <v>243.8</v>
      </c>
    </row>
    <row r="35" spans="1:10">
      <c r="A35" s="185" t="s">
        <v>375</v>
      </c>
      <c r="B35" s="185" t="s">
        <v>376</v>
      </c>
      <c r="C35" s="186" t="s">
        <v>180</v>
      </c>
      <c r="D35" s="185">
        <v>0</v>
      </c>
      <c r="E35" s="185"/>
      <c r="F35" s="185">
        <v>4150</v>
      </c>
      <c r="G35" s="185" t="s">
        <v>347</v>
      </c>
      <c r="H35" s="187"/>
      <c r="I35" s="188"/>
      <c r="J35" s="189">
        <v>243.8</v>
      </c>
    </row>
    <row r="36" spans="1:10">
      <c r="A36" s="185" t="s">
        <v>377</v>
      </c>
      <c r="B36" s="185" t="s">
        <v>378</v>
      </c>
      <c r="C36" s="186" t="s">
        <v>180</v>
      </c>
      <c r="D36" s="185">
        <v>0</v>
      </c>
      <c r="E36" s="185"/>
      <c r="F36" s="185">
        <v>4150</v>
      </c>
      <c r="G36" s="185" t="s">
        <v>347</v>
      </c>
      <c r="H36" s="187"/>
      <c r="I36" s="188"/>
      <c r="J36" s="189">
        <v>243.8</v>
      </c>
    </row>
    <row r="37" spans="1:10">
      <c r="A37" s="185" t="s">
        <v>379</v>
      </c>
      <c r="B37" s="185" t="s">
        <v>380</v>
      </c>
      <c r="C37" s="186" t="s">
        <v>180</v>
      </c>
      <c r="D37" s="185">
        <v>0</v>
      </c>
      <c r="E37" s="185"/>
      <c r="F37" s="185">
        <v>4150</v>
      </c>
      <c r="G37" s="185" t="s">
        <v>347</v>
      </c>
      <c r="H37" s="187"/>
      <c r="I37" s="188"/>
      <c r="J37" s="189">
        <v>243.8</v>
      </c>
    </row>
    <row r="38" spans="1:10">
      <c r="A38" s="185" t="s">
        <v>381</v>
      </c>
      <c r="B38" s="185" t="s">
        <v>382</v>
      </c>
      <c r="C38" s="186" t="s">
        <v>180</v>
      </c>
      <c r="D38" s="185">
        <v>0</v>
      </c>
      <c r="E38" s="185"/>
      <c r="F38" s="185">
        <v>4150</v>
      </c>
      <c r="G38" s="185" t="s">
        <v>347</v>
      </c>
      <c r="H38" s="187"/>
      <c r="I38" s="188"/>
      <c r="J38" s="189">
        <v>243.8</v>
      </c>
    </row>
    <row r="39" spans="1:10">
      <c r="A39" s="185" t="s">
        <v>383</v>
      </c>
      <c r="B39" s="185" t="s">
        <v>384</v>
      </c>
      <c r="C39" s="186" t="s">
        <v>180</v>
      </c>
      <c r="D39" s="185">
        <v>0</v>
      </c>
      <c r="E39" s="185"/>
      <c r="F39" s="185">
        <v>4150</v>
      </c>
      <c r="G39" s="185" t="s">
        <v>347</v>
      </c>
      <c r="H39" s="187"/>
      <c r="I39" s="188"/>
      <c r="J39" s="189">
        <v>243.8</v>
      </c>
    </row>
    <row r="40" spans="1:10">
      <c r="A40" s="185" t="s">
        <v>385</v>
      </c>
      <c r="B40" s="185" t="s">
        <v>386</v>
      </c>
      <c r="C40" s="186" t="s">
        <v>180</v>
      </c>
      <c r="D40" s="185">
        <v>0</v>
      </c>
      <c r="E40" s="185"/>
      <c r="F40" s="185">
        <v>4150</v>
      </c>
      <c r="G40" s="185" t="s">
        <v>347</v>
      </c>
      <c r="H40" s="187"/>
      <c r="I40" s="188"/>
      <c r="J40" s="189">
        <v>243.8</v>
      </c>
    </row>
    <row r="41" spans="1:10">
      <c r="A41" s="185" t="s">
        <v>387</v>
      </c>
      <c r="B41" s="185" t="s">
        <v>388</v>
      </c>
      <c r="C41" s="186" t="s">
        <v>180</v>
      </c>
      <c r="D41" s="185">
        <v>0</v>
      </c>
      <c r="E41" s="185"/>
      <c r="F41" s="185">
        <v>4150</v>
      </c>
      <c r="G41" s="185" t="s">
        <v>347</v>
      </c>
      <c r="H41" s="187"/>
      <c r="I41" s="188"/>
      <c r="J41" s="189">
        <v>243.8</v>
      </c>
    </row>
    <row r="42" spans="1:10">
      <c r="A42" s="185" t="s">
        <v>389</v>
      </c>
      <c r="B42" s="185" t="s">
        <v>390</v>
      </c>
      <c r="C42" s="186" t="s">
        <v>180</v>
      </c>
      <c r="D42" s="185">
        <v>0</v>
      </c>
      <c r="E42" s="185"/>
      <c r="F42" s="185">
        <v>4150</v>
      </c>
      <c r="G42" s="185" t="s">
        <v>347</v>
      </c>
      <c r="H42" s="187"/>
      <c r="I42" s="188"/>
      <c r="J42" s="189">
        <v>243.8</v>
      </c>
    </row>
    <row r="43" spans="1:10">
      <c r="A43" s="185" t="s">
        <v>391</v>
      </c>
      <c r="B43" s="185" t="s">
        <v>392</v>
      </c>
      <c r="C43" s="186" t="s">
        <v>180</v>
      </c>
      <c r="D43" s="185">
        <v>0</v>
      </c>
      <c r="E43" s="185"/>
      <c r="F43" s="185">
        <v>4150</v>
      </c>
      <c r="G43" s="185" t="s">
        <v>347</v>
      </c>
      <c r="H43" s="187"/>
      <c r="I43" s="188"/>
      <c r="J43" s="189">
        <v>243.8</v>
      </c>
    </row>
    <row r="44" spans="1:10">
      <c r="A44" s="185" t="s">
        <v>393</v>
      </c>
      <c r="B44" s="185" t="s">
        <v>394</v>
      </c>
      <c r="C44" s="186" t="s">
        <v>180</v>
      </c>
      <c r="D44" s="185">
        <v>0</v>
      </c>
      <c r="E44" s="185"/>
      <c r="F44" s="185">
        <v>4150</v>
      </c>
      <c r="G44" s="185" t="s">
        <v>347</v>
      </c>
      <c r="H44" s="187"/>
      <c r="I44" s="188"/>
      <c r="J44" s="189">
        <v>243.8</v>
      </c>
    </row>
    <row r="45" spans="1:10">
      <c r="A45" s="185" t="s">
        <v>395</v>
      </c>
      <c r="B45" s="185" t="s">
        <v>373</v>
      </c>
      <c r="C45" s="186" t="s">
        <v>180</v>
      </c>
      <c r="D45" s="185">
        <v>0</v>
      </c>
      <c r="E45" s="185"/>
      <c r="F45" s="185">
        <v>4150</v>
      </c>
      <c r="G45" s="185" t="s">
        <v>347</v>
      </c>
      <c r="H45" s="187"/>
      <c r="I45" s="188"/>
      <c r="J45" s="189">
        <v>268.08333333333297</v>
      </c>
    </row>
    <row r="46" spans="1:10">
      <c r="A46" s="185" t="s">
        <v>396</v>
      </c>
      <c r="B46" s="185" t="s">
        <v>376</v>
      </c>
      <c r="C46" s="186" t="s">
        <v>180</v>
      </c>
      <c r="D46" s="185">
        <v>0</v>
      </c>
      <c r="E46" s="185"/>
      <c r="F46" s="185">
        <v>4150</v>
      </c>
      <c r="G46" s="185" t="s">
        <v>347</v>
      </c>
      <c r="H46" s="187"/>
      <c r="I46" s="188"/>
      <c r="J46" s="189">
        <v>268.08333333333297</v>
      </c>
    </row>
    <row r="47" spans="1:10">
      <c r="A47" s="185" t="s">
        <v>397</v>
      </c>
      <c r="B47" s="185" t="s">
        <v>378</v>
      </c>
      <c r="C47" s="186" t="s">
        <v>180</v>
      </c>
      <c r="D47" s="185">
        <v>0</v>
      </c>
      <c r="E47" s="185"/>
      <c r="F47" s="185">
        <v>4150</v>
      </c>
      <c r="G47" s="185" t="s">
        <v>347</v>
      </c>
      <c r="H47" s="187"/>
      <c r="I47" s="188"/>
      <c r="J47" s="189">
        <v>268.08333333333297</v>
      </c>
    </row>
    <row r="48" spans="1:10">
      <c r="A48" s="185" t="s">
        <v>398</v>
      </c>
      <c r="B48" s="185" t="s">
        <v>380</v>
      </c>
      <c r="C48" s="186" t="s">
        <v>180</v>
      </c>
      <c r="D48" s="185">
        <v>0</v>
      </c>
      <c r="E48" s="185"/>
      <c r="F48" s="185">
        <v>4150</v>
      </c>
      <c r="G48" s="185" t="s">
        <v>347</v>
      </c>
      <c r="H48" s="187"/>
      <c r="I48" s="188"/>
      <c r="J48" s="189">
        <v>268.08333333333297</v>
      </c>
    </row>
    <row r="49" spans="1:10">
      <c r="A49" s="185" t="s">
        <v>399</v>
      </c>
      <c r="B49" s="185" t="s">
        <v>382</v>
      </c>
      <c r="C49" s="186" t="s">
        <v>180</v>
      </c>
      <c r="D49" s="185">
        <v>0</v>
      </c>
      <c r="E49" s="185"/>
      <c r="F49" s="185">
        <v>4150</v>
      </c>
      <c r="G49" s="185" t="s">
        <v>347</v>
      </c>
      <c r="H49" s="187"/>
      <c r="I49" s="188"/>
      <c r="J49" s="189">
        <v>268.08333333333297</v>
      </c>
    </row>
    <row r="50" spans="1:10">
      <c r="A50" s="185" t="s">
        <v>400</v>
      </c>
      <c r="B50" s="185" t="s">
        <v>384</v>
      </c>
      <c r="C50" s="186" t="s">
        <v>180</v>
      </c>
      <c r="D50" s="185">
        <v>0</v>
      </c>
      <c r="E50" s="185"/>
      <c r="F50" s="185">
        <v>4150</v>
      </c>
      <c r="G50" s="185" t="s">
        <v>347</v>
      </c>
      <c r="H50" s="187"/>
      <c r="I50" s="188"/>
      <c r="J50" s="189">
        <v>268.08333333333297</v>
      </c>
    </row>
    <row r="51" spans="1:10">
      <c r="A51" s="185" t="s">
        <v>401</v>
      </c>
      <c r="B51" s="185" t="s">
        <v>386</v>
      </c>
      <c r="C51" s="186" t="s">
        <v>180</v>
      </c>
      <c r="D51" s="185">
        <v>0</v>
      </c>
      <c r="E51" s="185"/>
      <c r="F51" s="185">
        <v>4150</v>
      </c>
      <c r="G51" s="185" t="s">
        <v>347</v>
      </c>
      <c r="H51" s="187"/>
      <c r="I51" s="188"/>
      <c r="J51" s="189">
        <v>268.08333333333297</v>
      </c>
    </row>
    <row r="52" spans="1:10">
      <c r="A52" s="185" t="s">
        <v>402</v>
      </c>
      <c r="B52" s="185" t="s">
        <v>388</v>
      </c>
      <c r="C52" s="186" t="s">
        <v>180</v>
      </c>
      <c r="D52" s="185">
        <v>0</v>
      </c>
      <c r="E52" s="185"/>
      <c r="F52" s="185">
        <v>4150</v>
      </c>
      <c r="G52" s="185" t="s">
        <v>347</v>
      </c>
      <c r="H52" s="187"/>
      <c r="I52" s="188"/>
      <c r="J52" s="189">
        <v>268.08333333333297</v>
      </c>
    </row>
    <row r="53" spans="1:10">
      <c r="A53" s="185" t="s">
        <v>403</v>
      </c>
      <c r="B53" s="185" t="s">
        <v>390</v>
      </c>
      <c r="C53" s="186" t="s">
        <v>180</v>
      </c>
      <c r="D53" s="185">
        <v>0</v>
      </c>
      <c r="E53" s="185"/>
      <c r="F53" s="185">
        <v>4150</v>
      </c>
      <c r="G53" s="185" t="s">
        <v>347</v>
      </c>
      <c r="H53" s="187"/>
      <c r="I53" s="188"/>
      <c r="J53" s="189">
        <v>268.08333333333297</v>
      </c>
    </row>
    <row r="54" spans="1:10">
      <c r="A54" s="185" t="s">
        <v>404</v>
      </c>
      <c r="B54" s="185" t="s">
        <v>392</v>
      </c>
      <c r="C54" s="186" t="s">
        <v>180</v>
      </c>
      <c r="D54" s="185">
        <v>0</v>
      </c>
      <c r="E54" s="185"/>
      <c r="F54" s="185">
        <v>4150</v>
      </c>
      <c r="G54" s="185" t="s">
        <v>347</v>
      </c>
      <c r="H54" s="187"/>
      <c r="I54" s="188"/>
      <c r="J54" s="189">
        <v>268.08333333333297</v>
      </c>
    </row>
    <row r="55" spans="1:10">
      <c r="A55" s="185" t="s">
        <v>405</v>
      </c>
      <c r="B55" s="185" t="s">
        <v>394</v>
      </c>
      <c r="C55" s="186" t="s">
        <v>180</v>
      </c>
      <c r="D55" s="185">
        <v>0</v>
      </c>
      <c r="E55" s="185"/>
      <c r="F55" s="185">
        <v>4150</v>
      </c>
      <c r="G55" s="185" t="s">
        <v>347</v>
      </c>
      <c r="H55" s="187"/>
      <c r="I55" s="188"/>
      <c r="J55" s="189">
        <v>268.08333333333297</v>
      </c>
    </row>
    <row r="56" spans="1:10">
      <c r="A56" s="185" t="s">
        <v>406</v>
      </c>
      <c r="B56" s="185" t="s">
        <v>407</v>
      </c>
      <c r="C56" s="186" t="s">
        <v>176</v>
      </c>
      <c r="D56" s="185">
        <v>0</v>
      </c>
      <c r="E56" s="185" t="s">
        <v>365</v>
      </c>
      <c r="F56" s="185">
        <v>4200</v>
      </c>
      <c r="G56" s="185" t="s">
        <v>408</v>
      </c>
      <c r="H56" s="187"/>
      <c r="I56" s="188"/>
      <c r="J56" s="189">
        <v>0.6</v>
      </c>
    </row>
    <row r="57" spans="1:10">
      <c r="A57" s="185" t="s">
        <v>409</v>
      </c>
      <c r="B57" s="185" t="s">
        <v>410</v>
      </c>
      <c r="C57" s="186" t="s">
        <v>176</v>
      </c>
      <c r="D57" s="185" t="s">
        <v>360</v>
      </c>
      <c r="E57" s="185" t="s">
        <v>365</v>
      </c>
      <c r="F57" s="185">
        <v>4200</v>
      </c>
      <c r="G57" s="185" t="s">
        <v>408</v>
      </c>
      <c r="H57" s="187"/>
      <c r="I57" s="188"/>
      <c r="J57" s="189">
        <v>0.6</v>
      </c>
    </row>
    <row r="58" spans="1:10">
      <c r="A58" s="185" t="s">
        <v>411</v>
      </c>
      <c r="B58" s="185" t="s">
        <v>412</v>
      </c>
      <c r="C58" s="186" t="s">
        <v>176</v>
      </c>
      <c r="D58" s="185">
        <v>0</v>
      </c>
      <c r="E58" s="185" t="s">
        <v>365</v>
      </c>
      <c r="F58" s="185">
        <v>4200</v>
      </c>
      <c r="G58" s="185" t="s">
        <v>408</v>
      </c>
      <c r="H58" s="187"/>
      <c r="I58" s="188"/>
      <c r="J58" s="189">
        <v>0.6</v>
      </c>
    </row>
    <row r="59" spans="1:10">
      <c r="A59" s="185" t="s">
        <v>413</v>
      </c>
      <c r="B59" s="185" t="s">
        <v>414</v>
      </c>
      <c r="C59" s="186" t="s">
        <v>180</v>
      </c>
      <c r="D59" s="185" t="s">
        <v>360</v>
      </c>
      <c r="E59" s="185"/>
      <c r="F59" s="185">
        <v>2150</v>
      </c>
      <c r="G59" s="185" t="s">
        <v>352</v>
      </c>
      <c r="H59" s="187"/>
      <c r="I59" s="188"/>
      <c r="J59" s="189">
        <v>10.85</v>
      </c>
    </row>
    <row r="60" spans="1:10">
      <c r="A60" s="185" t="s">
        <v>415</v>
      </c>
      <c r="B60" s="185" t="s">
        <v>416</v>
      </c>
      <c r="C60" s="186" t="s">
        <v>180</v>
      </c>
      <c r="D60" s="185">
        <v>0</v>
      </c>
      <c r="E60" s="185"/>
      <c r="F60" s="185">
        <v>4150</v>
      </c>
      <c r="G60" s="185" t="s">
        <v>357</v>
      </c>
      <c r="H60" s="187"/>
      <c r="I60" s="188"/>
      <c r="J60" s="189">
        <v>0.71111111111111103</v>
      </c>
    </row>
    <row r="61" spans="1:10">
      <c r="A61" s="185" t="s">
        <v>417</v>
      </c>
      <c r="B61" s="185" t="s">
        <v>418</v>
      </c>
      <c r="C61" s="186" t="s">
        <v>176</v>
      </c>
      <c r="D61" s="185">
        <v>0</v>
      </c>
      <c r="E61" s="185" t="s">
        <v>336</v>
      </c>
      <c r="F61" s="185">
        <v>2100</v>
      </c>
      <c r="G61" s="185" t="s">
        <v>419</v>
      </c>
      <c r="H61" s="187"/>
      <c r="I61" s="188"/>
      <c r="J61" s="189">
        <v>0.3</v>
      </c>
    </row>
    <row r="62" spans="1:10">
      <c r="A62" s="185" t="s">
        <v>420</v>
      </c>
      <c r="B62" s="185" t="s">
        <v>421</v>
      </c>
      <c r="C62" s="186" t="s">
        <v>176</v>
      </c>
      <c r="D62" s="185">
        <v>0</v>
      </c>
      <c r="E62" s="185" t="s">
        <v>336</v>
      </c>
      <c r="F62" s="185">
        <v>2100</v>
      </c>
      <c r="G62" s="185" t="s">
        <v>419</v>
      </c>
      <c r="H62" s="187"/>
      <c r="I62" s="188"/>
      <c r="J62" s="189">
        <v>0.3</v>
      </c>
    </row>
    <row r="63" spans="1:10">
      <c r="A63" s="185" t="s">
        <v>422</v>
      </c>
      <c r="B63" s="185" t="s">
        <v>423</v>
      </c>
      <c r="C63" s="186" t="s">
        <v>176</v>
      </c>
      <c r="D63" s="185" t="s">
        <v>360</v>
      </c>
      <c r="E63" s="185" t="s">
        <v>336</v>
      </c>
      <c r="F63" s="185">
        <v>2100</v>
      </c>
      <c r="G63" s="185" t="s">
        <v>419</v>
      </c>
      <c r="H63" s="187"/>
      <c r="I63" s="188"/>
      <c r="J63" s="189">
        <v>0.3</v>
      </c>
    </row>
    <row r="64" spans="1:10">
      <c r="A64" s="185" t="s">
        <v>424</v>
      </c>
      <c r="B64" s="185" t="s">
        <v>425</v>
      </c>
      <c r="C64" s="186" t="s">
        <v>180</v>
      </c>
      <c r="D64" s="185">
        <v>0</v>
      </c>
      <c r="E64" s="185"/>
      <c r="F64" s="185">
        <v>4150</v>
      </c>
      <c r="G64" s="185" t="s">
        <v>357</v>
      </c>
      <c r="H64" s="187"/>
      <c r="I64" s="188"/>
      <c r="J64" s="189">
        <v>23.088888888888899</v>
      </c>
    </row>
    <row r="65" spans="1:10">
      <c r="A65" s="185" t="s">
        <v>426</v>
      </c>
      <c r="B65" s="185" t="s">
        <v>427</v>
      </c>
      <c r="C65" s="186" t="s">
        <v>180</v>
      </c>
      <c r="D65" s="185">
        <v>0</v>
      </c>
      <c r="E65" s="185"/>
      <c r="F65" s="185">
        <v>4150</v>
      </c>
      <c r="G65" s="185" t="s">
        <v>347</v>
      </c>
      <c r="H65" s="187"/>
      <c r="I65" s="188"/>
      <c r="J65" s="189">
        <v>19.7</v>
      </c>
    </row>
    <row r="66" spans="1:10">
      <c r="A66" s="185" t="s">
        <v>428</v>
      </c>
      <c r="B66" s="185" t="s">
        <v>429</v>
      </c>
      <c r="C66" s="186" t="s">
        <v>180</v>
      </c>
      <c r="D66" s="185">
        <v>0</v>
      </c>
      <c r="E66" s="185"/>
      <c r="F66" s="185">
        <v>4150</v>
      </c>
      <c r="G66" s="185" t="s">
        <v>347</v>
      </c>
      <c r="H66" s="187"/>
      <c r="I66" s="188"/>
      <c r="J66" s="189">
        <v>241.666666666667</v>
      </c>
    </row>
    <row r="67" spans="1:10">
      <c r="A67" s="185" t="s">
        <v>430</v>
      </c>
      <c r="B67" s="185" t="s">
        <v>431</v>
      </c>
      <c r="C67" s="186" t="s">
        <v>180</v>
      </c>
      <c r="D67" s="185">
        <v>0</v>
      </c>
      <c r="E67" s="185"/>
      <c r="F67" s="185">
        <v>4150</v>
      </c>
      <c r="G67" s="185" t="s">
        <v>347</v>
      </c>
      <c r="H67" s="187"/>
      <c r="I67" s="188"/>
      <c r="J67" s="189">
        <v>241.666666666667</v>
      </c>
    </row>
    <row r="68" spans="1:10">
      <c r="A68" s="185" t="s">
        <v>432</v>
      </c>
      <c r="B68" s="185" t="s">
        <v>433</v>
      </c>
      <c r="C68" s="186" t="s">
        <v>180</v>
      </c>
      <c r="D68" s="185">
        <v>0</v>
      </c>
      <c r="E68" s="185"/>
      <c r="F68" s="185">
        <v>4150</v>
      </c>
      <c r="G68" s="185" t="s">
        <v>347</v>
      </c>
      <c r="H68" s="187"/>
      <c r="I68" s="188"/>
      <c r="J68" s="189">
        <v>241.666666666667</v>
      </c>
    </row>
    <row r="69" spans="1:10">
      <c r="A69" s="185" t="s">
        <v>434</v>
      </c>
      <c r="B69" s="185" t="s">
        <v>435</v>
      </c>
      <c r="C69" s="186" t="s">
        <v>180</v>
      </c>
      <c r="D69" s="185">
        <v>0</v>
      </c>
      <c r="E69" s="185"/>
      <c r="F69" s="185">
        <v>4150</v>
      </c>
      <c r="G69" s="185" t="s">
        <v>347</v>
      </c>
      <c r="H69" s="187"/>
      <c r="I69" s="188"/>
      <c r="J69" s="189">
        <v>241.666666666667</v>
      </c>
    </row>
    <row r="70" spans="1:10">
      <c r="A70" s="185" t="s">
        <v>436</v>
      </c>
      <c r="B70" s="185" t="s">
        <v>437</v>
      </c>
      <c r="C70" s="186" t="s">
        <v>180</v>
      </c>
      <c r="D70" s="185">
        <v>0</v>
      </c>
      <c r="E70" s="185"/>
      <c r="F70" s="185">
        <v>4150</v>
      </c>
      <c r="G70" s="185" t="s">
        <v>347</v>
      </c>
      <c r="H70" s="187"/>
      <c r="I70" s="188"/>
      <c r="J70" s="189">
        <v>241.666666666667</v>
      </c>
    </row>
    <row r="71" spans="1:10">
      <c r="A71" s="185" t="s">
        <v>438</v>
      </c>
      <c r="B71" s="185" t="s">
        <v>439</v>
      </c>
      <c r="C71" s="186" t="s">
        <v>180</v>
      </c>
      <c r="D71" s="185">
        <v>0</v>
      </c>
      <c r="E71" s="185"/>
      <c r="F71" s="185">
        <v>4150</v>
      </c>
      <c r="G71" s="185" t="s">
        <v>347</v>
      </c>
      <c r="H71" s="187"/>
      <c r="I71" s="188"/>
      <c r="J71" s="189">
        <v>241.666666666667</v>
      </c>
    </row>
    <row r="72" spans="1:10">
      <c r="A72" s="185" t="s">
        <v>440</v>
      </c>
      <c r="B72" s="185" t="s">
        <v>441</v>
      </c>
      <c r="C72" s="186" t="s">
        <v>180</v>
      </c>
      <c r="D72" s="185">
        <v>0</v>
      </c>
      <c r="E72" s="185"/>
      <c r="F72" s="185">
        <v>4150</v>
      </c>
      <c r="G72" s="185" t="s">
        <v>347</v>
      </c>
      <c r="H72" s="187"/>
      <c r="I72" s="188"/>
      <c r="J72" s="189">
        <v>241.666666666667</v>
      </c>
    </row>
    <row r="73" spans="1:10">
      <c r="A73" s="185" t="s">
        <v>442</v>
      </c>
      <c r="B73" s="185" t="s">
        <v>443</v>
      </c>
      <c r="C73" s="186" t="s">
        <v>180</v>
      </c>
      <c r="D73" s="185">
        <v>0</v>
      </c>
      <c r="E73" s="185"/>
      <c r="F73" s="185">
        <v>4150</v>
      </c>
      <c r="G73" s="185" t="s">
        <v>347</v>
      </c>
      <c r="H73" s="187"/>
      <c r="I73" s="188"/>
      <c r="J73" s="189">
        <v>241.666666666667</v>
      </c>
    </row>
    <row r="74" spans="1:10">
      <c r="A74" s="185" t="s">
        <v>444</v>
      </c>
      <c r="B74" s="185" t="s">
        <v>445</v>
      </c>
      <c r="C74" s="186" t="s">
        <v>180</v>
      </c>
      <c r="D74" s="185">
        <v>0</v>
      </c>
      <c r="E74" s="185"/>
      <c r="F74" s="185">
        <v>4150</v>
      </c>
      <c r="G74" s="185" t="s">
        <v>347</v>
      </c>
      <c r="H74" s="187"/>
      <c r="I74" s="188"/>
      <c r="J74" s="189">
        <v>241.666666666667</v>
      </c>
    </row>
    <row r="75" spans="1:10">
      <c r="A75" s="185" t="s">
        <v>446</v>
      </c>
      <c r="B75" s="185" t="s">
        <v>447</v>
      </c>
      <c r="C75" s="186" t="s">
        <v>180</v>
      </c>
      <c r="D75" s="185">
        <v>0</v>
      </c>
      <c r="E75" s="185"/>
      <c r="F75" s="185">
        <v>4150</v>
      </c>
      <c r="G75" s="185" t="s">
        <v>347</v>
      </c>
      <c r="H75" s="187"/>
      <c r="I75" s="188"/>
      <c r="J75" s="189">
        <v>241.666666666667</v>
      </c>
    </row>
    <row r="76" spans="1:10">
      <c r="A76" s="185" t="s">
        <v>448</v>
      </c>
      <c r="B76" s="185" t="s">
        <v>449</v>
      </c>
      <c r="C76" s="186" t="s">
        <v>180</v>
      </c>
      <c r="D76" s="185">
        <v>0</v>
      </c>
      <c r="E76" s="185"/>
      <c r="F76" s="185">
        <v>4150</v>
      </c>
      <c r="G76" s="185" t="s">
        <v>347</v>
      </c>
      <c r="H76" s="187"/>
      <c r="I76" s="188"/>
      <c r="J76" s="189">
        <v>241.666666666667</v>
      </c>
    </row>
    <row r="77" spans="1:10">
      <c r="A77" s="185" t="s">
        <v>450</v>
      </c>
      <c r="B77" s="185" t="s">
        <v>451</v>
      </c>
      <c r="C77" s="186" t="s">
        <v>180</v>
      </c>
      <c r="D77" s="185">
        <v>0</v>
      </c>
      <c r="E77" s="185"/>
      <c r="F77" s="185">
        <v>4150</v>
      </c>
      <c r="G77" s="185" t="s">
        <v>347</v>
      </c>
      <c r="H77" s="187"/>
      <c r="I77" s="188"/>
      <c r="J77" s="189">
        <v>241.666666666667</v>
      </c>
    </row>
    <row r="78" spans="1:10">
      <c r="A78" s="185" t="s">
        <v>452</v>
      </c>
      <c r="B78" s="185" t="s">
        <v>429</v>
      </c>
      <c r="C78" s="186" t="s">
        <v>180</v>
      </c>
      <c r="D78" s="185">
        <v>0</v>
      </c>
      <c r="E78" s="185"/>
      <c r="F78" s="185">
        <v>4150</v>
      </c>
      <c r="G78" s="185" t="s">
        <v>347</v>
      </c>
      <c r="H78" s="187"/>
      <c r="I78" s="188"/>
      <c r="J78" s="189">
        <v>428.71666666666698</v>
      </c>
    </row>
    <row r="79" spans="1:10">
      <c r="A79" s="185" t="s">
        <v>453</v>
      </c>
      <c r="B79" s="185" t="s">
        <v>431</v>
      </c>
      <c r="C79" s="186" t="s">
        <v>180</v>
      </c>
      <c r="D79" s="185">
        <v>0</v>
      </c>
      <c r="E79" s="185"/>
      <c r="F79" s="185">
        <v>4150</v>
      </c>
      <c r="G79" s="185" t="s">
        <v>347</v>
      </c>
      <c r="H79" s="187"/>
      <c r="I79" s="188"/>
      <c r="J79" s="189">
        <v>428.71666666666698</v>
      </c>
    </row>
    <row r="80" spans="1:10">
      <c r="A80" s="185" t="s">
        <v>454</v>
      </c>
      <c r="B80" s="185" t="s">
        <v>433</v>
      </c>
      <c r="C80" s="186" t="s">
        <v>180</v>
      </c>
      <c r="D80" s="185">
        <v>0</v>
      </c>
      <c r="E80" s="185"/>
      <c r="F80" s="185">
        <v>4150</v>
      </c>
      <c r="G80" s="185" t="s">
        <v>347</v>
      </c>
      <c r="H80" s="187"/>
      <c r="I80" s="188"/>
      <c r="J80" s="189">
        <v>428.71666666666698</v>
      </c>
    </row>
    <row r="81" spans="1:10">
      <c r="A81" s="185" t="s">
        <v>455</v>
      </c>
      <c r="B81" s="185" t="s">
        <v>435</v>
      </c>
      <c r="C81" s="186" t="s">
        <v>180</v>
      </c>
      <c r="D81" s="185">
        <v>0</v>
      </c>
      <c r="E81" s="185"/>
      <c r="F81" s="185">
        <v>4150</v>
      </c>
      <c r="G81" s="185" t="s">
        <v>347</v>
      </c>
      <c r="H81" s="187"/>
      <c r="I81" s="188"/>
      <c r="J81" s="189">
        <v>428.71666666666698</v>
      </c>
    </row>
    <row r="82" spans="1:10">
      <c r="A82" s="185" t="s">
        <v>456</v>
      </c>
      <c r="B82" s="185" t="s">
        <v>437</v>
      </c>
      <c r="C82" s="186" t="s">
        <v>180</v>
      </c>
      <c r="D82" s="185">
        <v>0</v>
      </c>
      <c r="E82" s="185"/>
      <c r="F82" s="185">
        <v>4150</v>
      </c>
      <c r="G82" s="185" t="s">
        <v>347</v>
      </c>
      <c r="H82" s="187"/>
      <c r="I82" s="188"/>
      <c r="J82" s="189">
        <v>428.71666666666698</v>
      </c>
    </row>
    <row r="83" spans="1:10">
      <c r="A83" s="185" t="s">
        <v>457</v>
      </c>
      <c r="B83" s="185" t="s">
        <v>439</v>
      </c>
      <c r="C83" s="186" t="s">
        <v>180</v>
      </c>
      <c r="D83" s="185">
        <v>0</v>
      </c>
      <c r="E83" s="185"/>
      <c r="F83" s="185">
        <v>4150</v>
      </c>
      <c r="G83" s="185" t="s">
        <v>347</v>
      </c>
      <c r="H83" s="187"/>
      <c r="I83" s="188"/>
      <c r="J83" s="189">
        <v>428.71666666666698</v>
      </c>
    </row>
    <row r="84" spans="1:10">
      <c r="A84" s="185" t="s">
        <v>458</v>
      </c>
      <c r="B84" s="185" t="s">
        <v>441</v>
      </c>
      <c r="C84" s="186" t="s">
        <v>180</v>
      </c>
      <c r="D84" s="185">
        <v>0</v>
      </c>
      <c r="E84" s="185"/>
      <c r="F84" s="185">
        <v>4150</v>
      </c>
      <c r="G84" s="185" t="s">
        <v>347</v>
      </c>
      <c r="H84" s="187"/>
      <c r="I84" s="188"/>
      <c r="J84" s="189">
        <v>428.71666666666698</v>
      </c>
    </row>
    <row r="85" spans="1:10">
      <c r="A85" s="185" t="s">
        <v>459</v>
      </c>
      <c r="B85" s="185" t="s">
        <v>443</v>
      </c>
      <c r="C85" s="186" t="s">
        <v>180</v>
      </c>
      <c r="D85" s="185">
        <v>0</v>
      </c>
      <c r="E85" s="185"/>
      <c r="F85" s="185">
        <v>4150</v>
      </c>
      <c r="G85" s="185" t="s">
        <v>347</v>
      </c>
      <c r="H85" s="187"/>
      <c r="I85" s="188"/>
      <c r="J85" s="189">
        <v>428.71666666666698</v>
      </c>
    </row>
    <row r="86" spans="1:10">
      <c r="A86" s="185" t="s">
        <v>460</v>
      </c>
      <c r="B86" s="185" t="s">
        <v>445</v>
      </c>
      <c r="C86" s="186" t="s">
        <v>180</v>
      </c>
      <c r="D86" s="185">
        <v>0</v>
      </c>
      <c r="E86" s="185"/>
      <c r="F86" s="185">
        <v>4150</v>
      </c>
      <c r="G86" s="185" t="s">
        <v>347</v>
      </c>
      <c r="H86" s="187"/>
      <c r="I86" s="188"/>
      <c r="J86" s="189">
        <v>428.71666666666698</v>
      </c>
    </row>
    <row r="87" spans="1:10">
      <c r="A87" s="185" t="s">
        <v>461</v>
      </c>
      <c r="B87" s="185" t="s">
        <v>447</v>
      </c>
      <c r="C87" s="186" t="s">
        <v>180</v>
      </c>
      <c r="D87" s="185">
        <v>0</v>
      </c>
      <c r="E87" s="185"/>
      <c r="F87" s="185">
        <v>4150</v>
      </c>
      <c r="G87" s="185" t="s">
        <v>347</v>
      </c>
      <c r="H87" s="187"/>
      <c r="I87" s="188"/>
      <c r="J87" s="189">
        <v>428.71666666666698</v>
      </c>
    </row>
    <row r="88" spans="1:10">
      <c r="A88" s="185" t="s">
        <v>462</v>
      </c>
      <c r="B88" s="185" t="s">
        <v>449</v>
      </c>
      <c r="C88" s="186" t="s">
        <v>180</v>
      </c>
      <c r="D88" s="185">
        <v>0</v>
      </c>
      <c r="E88" s="185"/>
      <c r="F88" s="185">
        <v>4150</v>
      </c>
      <c r="G88" s="185" t="s">
        <v>347</v>
      </c>
      <c r="H88" s="187"/>
      <c r="I88" s="188"/>
      <c r="J88" s="189">
        <v>428.71666666666698</v>
      </c>
    </row>
    <row r="89" spans="1:10">
      <c r="A89" s="185" t="s">
        <v>463</v>
      </c>
      <c r="B89" s="185" t="s">
        <v>451</v>
      </c>
      <c r="C89" s="186" t="s">
        <v>180</v>
      </c>
      <c r="D89" s="185">
        <v>0</v>
      </c>
      <c r="E89" s="185"/>
      <c r="F89" s="185">
        <v>4150</v>
      </c>
      <c r="G89" s="185" t="s">
        <v>347</v>
      </c>
      <c r="H89" s="187"/>
      <c r="I89" s="188"/>
      <c r="J89" s="189">
        <v>428.71666666666698</v>
      </c>
    </row>
    <row r="90" spans="1:10">
      <c r="A90" s="185" t="s">
        <v>464</v>
      </c>
      <c r="B90" s="185" t="s">
        <v>465</v>
      </c>
      <c r="C90" s="186" t="s">
        <v>180</v>
      </c>
      <c r="D90" s="185">
        <v>0</v>
      </c>
      <c r="E90" s="185"/>
      <c r="F90" s="185">
        <v>4150</v>
      </c>
      <c r="G90" s="185" t="s">
        <v>347</v>
      </c>
      <c r="H90" s="187"/>
      <c r="I90" s="188"/>
      <c r="J90" s="189">
        <v>2.4500000000000002</v>
      </c>
    </row>
    <row r="91" spans="1:10">
      <c r="A91" s="185" t="s">
        <v>466</v>
      </c>
      <c r="B91" s="185" t="s">
        <v>467</v>
      </c>
      <c r="C91" s="186" t="s">
        <v>180</v>
      </c>
      <c r="D91" s="185">
        <v>0</v>
      </c>
      <c r="E91" s="185"/>
      <c r="F91" s="185">
        <v>4150</v>
      </c>
      <c r="G91" s="185" t="s">
        <v>347</v>
      </c>
      <c r="H91" s="187"/>
      <c r="I91" s="188"/>
      <c r="J91" s="189">
        <v>2.3666666666666698</v>
      </c>
    </row>
    <row r="92" spans="1:10">
      <c r="A92" s="185" t="s">
        <v>468</v>
      </c>
      <c r="B92" s="185" t="s">
        <v>469</v>
      </c>
      <c r="C92" s="186" t="s">
        <v>180</v>
      </c>
      <c r="D92" s="185">
        <v>0</v>
      </c>
      <c r="E92" s="185"/>
      <c r="F92" s="185">
        <v>4150</v>
      </c>
      <c r="G92" s="185" t="s">
        <v>357</v>
      </c>
      <c r="H92" s="187"/>
      <c r="I92" s="188"/>
      <c r="J92" s="189">
        <v>167.84444444444401</v>
      </c>
    </row>
    <row r="93" spans="1:10">
      <c r="A93" s="185" t="s">
        <v>470</v>
      </c>
      <c r="B93" s="185" t="s">
        <v>471</v>
      </c>
      <c r="C93" s="186" t="s">
        <v>180</v>
      </c>
      <c r="D93" s="185">
        <v>0</v>
      </c>
      <c r="E93" s="185"/>
      <c r="F93" s="185">
        <v>2150</v>
      </c>
      <c r="G93" s="185" t="s">
        <v>352</v>
      </c>
      <c r="H93" s="187"/>
      <c r="I93" s="188"/>
      <c r="J93" s="189">
        <v>4.5833333333333304</v>
      </c>
    </row>
    <row r="94" spans="1:10">
      <c r="A94" s="185" t="s">
        <v>472</v>
      </c>
      <c r="B94" s="185" t="s">
        <v>473</v>
      </c>
      <c r="C94" s="186" t="s">
        <v>180</v>
      </c>
      <c r="D94" s="185">
        <v>0</v>
      </c>
      <c r="E94" s="185"/>
      <c r="F94" s="185">
        <v>4150</v>
      </c>
      <c r="G94" s="185" t="s">
        <v>347</v>
      </c>
      <c r="H94" s="187"/>
      <c r="I94" s="188"/>
      <c r="J94" s="189">
        <v>414.58333333333297</v>
      </c>
    </row>
    <row r="95" spans="1:10">
      <c r="A95" s="185" t="s">
        <v>474</v>
      </c>
      <c r="B95" s="185" t="s">
        <v>475</v>
      </c>
      <c r="C95" s="186" t="s">
        <v>180</v>
      </c>
      <c r="D95" s="185">
        <v>0</v>
      </c>
      <c r="E95" s="185"/>
      <c r="F95" s="185">
        <v>4150</v>
      </c>
      <c r="G95" s="185" t="s">
        <v>347</v>
      </c>
      <c r="H95" s="187"/>
      <c r="I95" s="188"/>
      <c r="J95" s="189">
        <v>414.58333333333297</v>
      </c>
    </row>
    <row r="96" spans="1:10">
      <c r="A96" s="185" t="s">
        <v>476</v>
      </c>
      <c r="B96" s="185" t="s">
        <v>477</v>
      </c>
      <c r="C96" s="186" t="s">
        <v>180</v>
      </c>
      <c r="D96" s="185">
        <v>0</v>
      </c>
      <c r="E96" s="185"/>
      <c r="F96" s="185">
        <v>4150</v>
      </c>
      <c r="G96" s="185" t="s">
        <v>347</v>
      </c>
      <c r="H96" s="187"/>
      <c r="I96" s="188"/>
      <c r="J96" s="189">
        <v>414.58333333333297</v>
      </c>
    </row>
    <row r="97" spans="1:10">
      <c r="A97" s="185" t="s">
        <v>478</v>
      </c>
      <c r="B97" s="185" t="s">
        <v>479</v>
      </c>
      <c r="C97" s="186" t="s">
        <v>180</v>
      </c>
      <c r="D97" s="185">
        <v>0</v>
      </c>
      <c r="E97" s="185"/>
      <c r="F97" s="185">
        <v>4150</v>
      </c>
      <c r="G97" s="185" t="s">
        <v>347</v>
      </c>
      <c r="H97" s="187"/>
      <c r="I97" s="188"/>
      <c r="J97" s="189">
        <v>414.58333333333297</v>
      </c>
    </row>
    <row r="98" spans="1:10">
      <c r="A98" s="185" t="s">
        <v>480</v>
      </c>
      <c r="B98" s="185" t="s">
        <v>481</v>
      </c>
      <c r="C98" s="186" t="s">
        <v>180</v>
      </c>
      <c r="D98" s="185">
        <v>0</v>
      </c>
      <c r="E98" s="185"/>
      <c r="F98" s="185">
        <v>4150</v>
      </c>
      <c r="G98" s="185" t="s">
        <v>347</v>
      </c>
      <c r="H98" s="187"/>
      <c r="I98" s="188"/>
      <c r="J98" s="189">
        <v>414.58333333333297</v>
      </c>
    </row>
    <row r="99" spans="1:10">
      <c r="A99" s="185" t="s">
        <v>482</v>
      </c>
      <c r="B99" s="185" t="s">
        <v>483</v>
      </c>
      <c r="C99" s="186" t="s">
        <v>180</v>
      </c>
      <c r="D99" s="185">
        <v>0</v>
      </c>
      <c r="E99" s="185"/>
      <c r="F99" s="185">
        <v>4150</v>
      </c>
      <c r="G99" s="185" t="s">
        <v>347</v>
      </c>
      <c r="H99" s="187"/>
      <c r="I99" s="188"/>
      <c r="J99" s="189">
        <v>414.58333333333297</v>
      </c>
    </row>
    <row r="100" spans="1:10">
      <c r="A100" s="185" t="s">
        <v>484</v>
      </c>
      <c r="B100" s="185" t="s">
        <v>485</v>
      </c>
      <c r="C100" s="186" t="s">
        <v>180</v>
      </c>
      <c r="D100" s="185">
        <v>0</v>
      </c>
      <c r="E100" s="185"/>
      <c r="F100" s="185">
        <v>4150</v>
      </c>
      <c r="G100" s="185" t="s">
        <v>347</v>
      </c>
      <c r="H100" s="187"/>
      <c r="I100" s="188"/>
      <c r="J100" s="189">
        <v>414.58333333333297</v>
      </c>
    </row>
    <row r="101" spans="1:10">
      <c r="A101" s="185" t="s">
        <v>486</v>
      </c>
      <c r="B101" s="185" t="s">
        <v>487</v>
      </c>
      <c r="C101" s="186" t="s">
        <v>180</v>
      </c>
      <c r="D101" s="185">
        <v>0</v>
      </c>
      <c r="E101" s="185"/>
      <c r="F101" s="185">
        <v>4150</v>
      </c>
      <c r="G101" s="185" t="s">
        <v>347</v>
      </c>
      <c r="H101" s="187"/>
      <c r="I101" s="188"/>
      <c r="J101" s="189">
        <v>414.58333333333297</v>
      </c>
    </row>
    <row r="102" spans="1:10">
      <c r="A102" s="185" t="s">
        <v>488</v>
      </c>
      <c r="B102" s="185" t="s">
        <v>489</v>
      </c>
      <c r="C102" s="186" t="s">
        <v>180</v>
      </c>
      <c r="D102" s="185">
        <v>0</v>
      </c>
      <c r="E102" s="185"/>
      <c r="F102" s="185">
        <v>4150</v>
      </c>
      <c r="G102" s="185" t="s">
        <v>347</v>
      </c>
      <c r="H102" s="187"/>
      <c r="I102" s="188"/>
      <c r="J102" s="189">
        <v>414.58333333333297</v>
      </c>
    </row>
    <row r="103" spans="1:10">
      <c r="A103" s="185" t="s">
        <v>490</v>
      </c>
      <c r="B103" s="185" t="s">
        <v>491</v>
      </c>
      <c r="C103" s="186" t="s">
        <v>180</v>
      </c>
      <c r="D103" s="185">
        <v>0</v>
      </c>
      <c r="E103" s="185"/>
      <c r="F103" s="185">
        <v>4150</v>
      </c>
      <c r="G103" s="185" t="s">
        <v>347</v>
      </c>
      <c r="H103" s="187"/>
      <c r="I103" s="188"/>
      <c r="J103" s="189">
        <v>414.58333333333297</v>
      </c>
    </row>
    <row r="104" spans="1:10">
      <c r="A104" s="185" t="s">
        <v>492</v>
      </c>
      <c r="B104" s="185" t="s">
        <v>493</v>
      </c>
      <c r="C104" s="186" t="s">
        <v>180</v>
      </c>
      <c r="D104" s="185">
        <v>0</v>
      </c>
      <c r="E104" s="185"/>
      <c r="F104" s="185">
        <v>4150</v>
      </c>
      <c r="G104" s="185" t="s">
        <v>347</v>
      </c>
      <c r="H104" s="187"/>
      <c r="I104" s="188"/>
      <c r="J104" s="189">
        <v>414.58333333333297</v>
      </c>
    </row>
    <row r="105" spans="1:10">
      <c r="A105" s="185" t="s">
        <v>494</v>
      </c>
      <c r="B105" s="185" t="s">
        <v>495</v>
      </c>
      <c r="C105" s="186" t="s">
        <v>180</v>
      </c>
      <c r="D105" s="185">
        <v>0</v>
      </c>
      <c r="E105" s="185"/>
      <c r="F105" s="185">
        <v>4150</v>
      </c>
      <c r="G105" s="185" t="s">
        <v>347</v>
      </c>
      <c r="H105" s="187"/>
      <c r="I105" s="188"/>
      <c r="J105" s="189">
        <v>414.58333333333297</v>
      </c>
    </row>
    <row r="106" spans="1:10">
      <c r="A106" s="185" t="s">
        <v>496</v>
      </c>
      <c r="B106" s="185" t="s">
        <v>473</v>
      </c>
      <c r="C106" s="186" t="s">
        <v>180</v>
      </c>
      <c r="D106" s="185">
        <v>0</v>
      </c>
      <c r="E106" s="185"/>
      <c r="F106" s="185">
        <v>4150</v>
      </c>
      <c r="G106" s="185" t="s">
        <v>347</v>
      </c>
      <c r="H106" s="187"/>
      <c r="I106" s="188"/>
      <c r="J106" s="189">
        <v>333.33333333333297</v>
      </c>
    </row>
    <row r="107" spans="1:10">
      <c r="A107" s="185" t="s">
        <v>497</v>
      </c>
      <c r="B107" s="185" t="s">
        <v>475</v>
      </c>
      <c r="C107" s="186" t="s">
        <v>180</v>
      </c>
      <c r="D107" s="185">
        <v>0</v>
      </c>
      <c r="E107" s="185"/>
      <c r="F107" s="185">
        <v>4150</v>
      </c>
      <c r="G107" s="185" t="s">
        <v>347</v>
      </c>
      <c r="H107" s="187"/>
      <c r="I107" s="188"/>
      <c r="J107" s="189">
        <v>333.33333333333297</v>
      </c>
    </row>
    <row r="108" spans="1:10">
      <c r="A108" s="185" t="s">
        <v>498</v>
      </c>
      <c r="B108" s="185" t="s">
        <v>477</v>
      </c>
      <c r="C108" s="186" t="s">
        <v>180</v>
      </c>
      <c r="D108" s="185">
        <v>0</v>
      </c>
      <c r="E108" s="185"/>
      <c r="F108" s="185">
        <v>4150</v>
      </c>
      <c r="G108" s="185" t="s">
        <v>347</v>
      </c>
      <c r="H108" s="187"/>
      <c r="I108" s="188"/>
      <c r="J108" s="189">
        <v>333.33333333333297</v>
      </c>
    </row>
    <row r="109" spans="1:10">
      <c r="A109" s="185" t="s">
        <v>499</v>
      </c>
      <c r="B109" s="185" t="s">
        <v>479</v>
      </c>
      <c r="C109" s="186" t="s">
        <v>180</v>
      </c>
      <c r="D109" s="185">
        <v>0</v>
      </c>
      <c r="E109" s="185"/>
      <c r="F109" s="185">
        <v>4150</v>
      </c>
      <c r="G109" s="185" t="s">
        <v>347</v>
      </c>
      <c r="H109" s="187"/>
      <c r="I109" s="188"/>
      <c r="J109" s="189">
        <v>333.33333333333297</v>
      </c>
    </row>
    <row r="110" spans="1:10">
      <c r="A110" s="185" t="s">
        <v>500</v>
      </c>
      <c r="B110" s="185" t="s">
        <v>481</v>
      </c>
      <c r="C110" s="186" t="s">
        <v>180</v>
      </c>
      <c r="D110" s="185">
        <v>0</v>
      </c>
      <c r="E110" s="185"/>
      <c r="F110" s="185">
        <v>4150</v>
      </c>
      <c r="G110" s="185" t="s">
        <v>347</v>
      </c>
      <c r="H110" s="187"/>
      <c r="I110" s="188"/>
      <c r="J110" s="189">
        <v>333.33333333333297</v>
      </c>
    </row>
    <row r="111" spans="1:10">
      <c r="A111" s="185" t="s">
        <v>501</v>
      </c>
      <c r="B111" s="185" t="s">
        <v>483</v>
      </c>
      <c r="C111" s="186" t="s">
        <v>180</v>
      </c>
      <c r="D111" s="185">
        <v>0</v>
      </c>
      <c r="E111" s="185"/>
      <c r="F111" s="185">
        <v>4150</v>
      </c>
      <c r="G111" s="185" t="s">
        <v>347</v>
      </c>
      <c r="H111" s="187"/>
      <c r="I111" s="188"/>
      <c r="J111" s="189">
        <v>333.33333333333297</v>
      </c>
    </row>
    <row r="112" spans="1:10">
      <c r="A112" s="185" t="s">
        <v>502</v>
      </c>
      <c r="B112" s="185" t="s">
        <v>485</v>
      </c>
      <c r="C112" s="186" t="s">
        <v>180</v>
      </c>
      <c r="D112" s="185">
        <v>0</v>
      </c>
      <c r="E112" s="185"/>
      <c r="F112" s="185">
        <v>4150</v>
      </c>
      <c r="G112" s="185" t="s">
        <v>347</v>
      </c>
      <c r="H112" s="187"/>
      <c r="I112" s="188"/>
      <c r="J112" s="189">
        <v>333.33333333333297</v>
      </c>
    </row>
    <row r="113" spans="1:10">
      <c r="A113" s="185" t="s">
        <v>503</v>
      </c>
      <c r="B113" s="185" t="s">
        <v>487</v>
      </c>
      <c r="C113" s="186" t="s">
        <v>180</v>
      </c>
      <c r="D113" s="185">
        <v>0</v>
      </c>
      <c r="E113" s="185"/>
      <c r="F113" s="185">
        <v>4150</v>
      </c>
      <c r="G113" s="185" t="s">
        <v>347</v>
      </c>
      <c r="H113" s="187"/>
      <c r="I113" s="188"/>
      <c r="J113" s="189">
        <v>333.33333333333297</v>
      </c>
    </row>
    <row r="114" spans="1:10">
      <c r="A114" s="185" t="s">
        <v>504</v>
      </c>
      <c r="B114" s="185" t="s">
        <v>489</v>
      </c>
      <c r="C114" s="186" t="s">
        <v>180</v>
      </c>
      <c r="D114" s="185">
        <v>0</v>
      </c>
      <c r="E114" s="185"/>
      <c r="F114" s="185">
        <v>4150</v>
      </c>
      <c r="G114" s="185" t="s">
        <v>347</v>
      </c>
      <c r="H114" s="187"/>
      <c r="I114" s="188"/>
      <c r="J114" s="189">
        <v>333.33333333333297</v>
      </c>
    </row>
    <row r="115" spans="1:10">
      <c r="A115" s="185" t="s">
        <v>505</v>
      </c>
      <c r="B115" s="185" t="s">
        <v>491</v>
      </c>
      <c r="C115" s="186" t="s">
        <v>180</v>
      </c>
      <c r="D115" s="185">
        <v>0</v>
      </c>
      <c r="E115" s="185"/>
      <c r="F115" s="185">
        <v>4150</v>
      </c>
      <c r="G115" s="185" t="s">
        <v>347</v>
      </c>
      <c r="H115" s="187"/>
      <c r="I115" s="188"/>
      <c r="J115" s="189">
        <v>333.33333333333297</v>
      </c>
    </row>
    <row r="116" spans="1:10">
      <c r="A116" s="185" t="s">
        <v>506</v>
      </c>
      <c r="B116" s="185" t="s">
        <v>493</v>
      </c>
      <c r="C116" s="186" t="s">
        <v>180</v>
      </c>
      <c r="D116" s="185">
        <v>0</v>
      </c>
      <c r="E116" s="185"/>
      <c r="F116" s="185">
        <v>4150</v>
      </c>
      <c r="G116" s="185" t="s">
        <v>347</v>
      </c>
      <c r="H116" s="187"/>
      <c r="I116" s="188"/>
      <c r="J116" s="189">
        <v>333.33333333333297</v>
      </c>
    </row>
    <row r="117" spans="1:10">
      <c r="A117" s="185" t="s">
        <v>507</v>
      </c>
      <c r="B117" s="185" t="s">
        <v>495</v>
      </c>
      <c r="C117" s="186" t="s">
        <v>180</v>
      </c>
      <c r="D117" s="185">
        <v>0</v>
      </c>
      <c r="E117" s="185"/>
      <c r="F117" s="185">
        <v>4150</v>
      </c>
      <c r="G117" s="185" t="s">
        <v>347</v>
      </c>
      <c r="H117" s="187"/>
      <c r="I117" s="188"/>
      <c r="J117" s="189">
        <v>333.33333333333297</v>
      </c>
    </row>
    <row r="118" spans="1:10">
      <c r="A118" s="185" t="s">
        <v>508</v>
      </c>
      <c r="B118" s="185" t="s">
        <v>509</v>
      </c>
      <c r="C118" s="186" t="s">
        <v>180</v>
      </c>
      <c r="D118" s="185">
        <v>0</v>
      </c>
      <c r="E118" s="185"/>
      <c r="F118" s="185">
        <v>2150</v>
      </c>
      <c r="G118" s="185" t="s">
        <v>352</v>
      </c>
      <c r="H118" s="187"/>
      <c r="I118" s="188"/>
      <c r="J118" s="189">
        <v>4.9166666666666696</v>
      </c>
    </row>
    <row r="119" spans="1:10">
      <c r="A119" s="185" t="s">
        <v>510</v>
      </c>
      <c r="B119" s="185" t="s">
        <v>511</v>
      </c>
      <c r="C119" s="186" t="s">
        <v>180</v>
      </c>
      <c r="D119" s="185">
        <v>0</v>
      </c>
      <c r="E119" s="185"/>
      <c r="F119" s="185">
        <v>4150</v>
      </c>
      <c r="G119" s="185" t="s">
        <v>512</v>
      </c>
      <c r="H119" s="187"/>
      <c r="I119" s="188"/>
      <c r="J119" s="189">
        <v>18.1428571428571</v>
      </c>
    </row>
    <row r="120" spans="1:10">
      <c r="A120" s="185" t="s">
        <v>513</v>
      </c>
      <c r="B120" s="185" t="s">
        <v>514</v>
      </c>
      <c r="C120" s="186" t="s">
        <v>180</v>
      </c>
      <c r="D120" s="185" t="s">
        <v>515</v>
      </c>
      <c r="E120" s="185"/>
      <c r="F120" s="185">
        <v>2150</v>
      </c>
      <c r="G120" s="185" t="s">
        <v>352</v>
      </c>
      <c r="H120" s="187"/>
      <c r="I120" s="188"/>
      <c r="J120" s="189">
        <v>10.4166666666667</v>
      </c>
    </row>
    <row r="121" spans="1:10">
      <c r="A121" s="185" t="s">
        <v>516</v>
      </c>
      <c r="B121" s="185" t="s">
        <v>517</v>
      </c>
      <c r="C121" s="186" t="s">
        <v>180</v>
      </c>
      <c r="D121" s="185">
        <v>0</v>
      </c>
      <c r="E121" s="185"/>
      <c r="F121" s="185">
        <v>4150</v>
      </c>
      <c r="G121" s="185" t="s">
        <v>512</v>
      </c>
      <c r="H121" s="187"/>
      <c r="I121" s="188"/>
      <c r="J121" s="189">
        <v>0.42857142857142899</v>
      </c>
    </row>
    <row r="122" spans="1:10">
      <c r="A122" s="185" t="s">
        <v>518</v>
      </c>
      <c r="B122" s="185" t="s">
        <v>519</v>
      </c>
      <c r="C122" s="186" t="s">
        <v>180</v>
      </c>
      <c r="D122" s="185">
        <v>0</v>
      </c>
      <c r="E122" s="185"/>
      <c r="F122" s="185">
        <v>4150</v>
      </c>
      <c r="G122" s="185" t="s">
        <v>512</v>
      </c>
      <c r="H122" s="187"/>
      <c r="I122" s="188"/>
      <c r="J122" s="189">
        <v>658.57142857142901</v>
      </c>
    </row>
    <row r="123" spans="1:10">
      <c r="A123" s="185" t="s">
        <v>520</v>
      </c>
      <c r="B123" s="185" t="s">
        <v>521</v>
      </c>
      <c r="C123" s="186" t="s">
        <v>180</v>
      </c>
      <c r="D123" s="185">
        <v>0</v>
      </c>
      <c r="E123" s="185"/>
      <c r="F123" s="185">
        <v>4150</v>
      </c>
      <c r="G123" s="185" t="s">
        <v>512</v>
      </c>
      <c r="H123" s="187"/>
      <c r="I123" s="188"/>
      <c r="J123" s="189">
        <v>157.142857142857</v>
      </c>
    </row>
    <row r="124" spans="1:10">
      <c r="A124" s="185" t="s">
        <v>522</v>
      </c>
      <c r="B124" s="185" t="s">
        <v>523</v>
      </c>
      <c r="C124" s="186" t="s">
        <v>180</v>
      </c>
      <c r="D124" s="185">
        <v>0</v>
      </c>
      <c r="E124" s="185"/>
      <c r="F124" s="185">
        <v>4150</v>
      </c>
      <c r="G124" s="185" t="s">
        <v>512</v>
      </c>
      <c r="H124" s="187"/>
      <c r="I124" s="188"/>
      <c r="J124" s="189">
        <v>167.357142857143</v>
      </c>
    </row>
    <row r="125" spans="1:10">
      <c r="A125" s="185" t="s">
        <v>524</v>
      </c>
      <c r="B125" s="185" t="s">
        <v>523</v>
      </c>
      <c r="C125" s="186" t="s">
        <v>180</v>
      </c>
      <c r="D125" s="185">
        <v>0</v>
      </c>
      <c r="E125" s="185"/>
      <c r="F125" s="185">
        <v>4150</v>
      </c>
      <c r="G125" s="185" t="s">
        <v>512</v>
      </c>
      <c r="H125" s="187"/>
      <c r="I125" s="188"/>
      <c r="J125" s="189">
        <v>237.142857142857</v>
      </c>
    </row>
    <row r="126" spans="1:10">
      <c r="A126" s="185" t="s">
        <v>525</v>
      </c>
      <c r="B126" s="185" t="s">
        <v>526</v>
      </c>
      <c r="C126" s="186" t="s">
        <v>180</v>
      </c>
      <c r="D126" s="185">
        <v>0</v>
      </c>
      <c r="E126" s="185"/>
      <c r="F126" s="185">
        <v>4150</v>
      </c>
      <c r="G126" s="185" t="s">
        <v>347</v>
      </c>
      <c r="H126" s="187"/>
      <c r="I126" s="188"/>
      <c r="J126" s="189">
        <v>4.6666666666666696</v>
      </c>
    </row>
    <row r="127" spans="1:10">
      <c r="A127" s="185" t="s">
        <v>527</v>
      </c>
      <c r="B127" s="185" t="s">
        <v>528</v>
      </c>
      <c r="C127" s="186" t="s">
        <v>180</v>
      </c>
      <c r="D127" s="185">
        <v>0</v>
      </c>
      <c r="E127" s="185"/>
      <c r="F127" s="185">
        <v>4150</v>
      </c>
      <c r="G127" s="185" t="s">
        <v>512</v>
      </c>
      <c r="H127" s="187"/>
      <c r="I127" s="188"/>
      <c r="J127" s="189">
        <v>6.3</v>
      </c>
    </row>
    <row r="128" spans="1:10">
      <c r="A128" s="185" t="s">
        <v>529</v>
      </c>
      <c r="B128" s="185" t="s">
        <v>530</v>
      </c>
      <c r="C128" s="186" t="s">
        <v>176</v>
      </c>
      <c r="D128" s="185">
        <v>0</v>
      </c>
      <c r="E128" s="185" t="s">
        <v>365</v>
      </c>
      <c r="F128" s="185">
        <v>2100</v>
      </c>
      <c r="G128" s="185" t="s">
        <v>419</v>
      </c>
      <c r="H128" s="187"/>
      <c r="I128" s="188"/>
      <c r="J128" s="189">
        <v>0.3</v>
      </c>
    </row>
    <row r="129" spans="1:10">
      <c r="A129" s="185" t="s">
        <v>531</v>
      </c>
      <c r="B129" s="185" t="s">
        <v>532</v>
      </c>
      <c r="C129" s="186" t="s">
        <v>176</v>
      </c>
      <c r="D129" s="185">
        <v>0</v>
      </c>
      <c r="E129" s="185" t="s">
        <v>365</v>
      </c>
      <c r="F129" s="185">
        <v>2100</v>
      </c>
      <c r="G129" s="185" t="s">
        <v>419</v>
      </c>
      <c r="H129" s="187"/>
      <c r="I129" s="188"/>
      <c r="J129" s="189">
        <v>0.3</v>
      </c>
    </row>
    <row r="130" spans="1:10">
      <c r="A130" s="185" t="s">
        <v>533</v>
      </c>
      <c r="B130" s="185" t="s">
        <v>534</v>
      </c>
      <c r="C130" s="186" t="s">
        <v>176</v>
      </c>
      <c r="D130" s="185">
        <v>0</v>
      </c>
      <c r="E130" s="185" t="s">
        <v>365</v>
      </c>
      <c r="F130" s="185">
        <v>2100</v>
      </c>
      <c r="G130" s="185" t="s">
        <v>419</v>
      </c>
      <c r="H130" s="187"/>
      <c r="I130" s="188"/>
      <c r="J130" s="189">
        <v>0.3</v>
      </c>
    </row>
    <row r="131" spans="1:10">
      <c r="A131" s="185" t="s">
        <v>535</v>
      </c>
      <c r="B131" s="185" t="s">
        <v>536</v>
      </c>
      <c r="C131" s="186" t="s">
        <v>180</v>
      </c>
      <c r="D131" s="185">
        <v>0</v>
      </c>
      <c r="E131" s="185"/>
      <c r="F131" s="185">
        <v>2150</v>
      </c>
      <c r="G131" s="185" t="s">
        <v>352</v>
      </c>
      <c r="H131" s="187"/>
      <c r="I131" s="188"/>
      <c r="J131" s="189">
        <v>7.9166666666666696</v>
      </c>
    </row>
    <row r="132" spans="1:10">
      <c r="A132" s="185" t="s">
        <v>537</v>
      </c>
      <c r="B132" s="185" t="s">
        <v>538</v>
      </c>
      <c r="C132" s="186" t="s">
        <v>180</v>
      </c>
      <c r="D132" s="185">
        <v>0</v>
      </c>
      <c r="E132" s="185"/>
      <c r="F132" s="185">
        <v>2150</v>
      </c>
      <c r="G132" s="185" t="s">
        <v>352</v>
      </c>
      <c r="H132" s="187"/>
      <c r="I132" s="188"/>
      <c r="J132" s="189">
        <v>8.3333333333333304</v>
      </c>
    </row>
    <row r="133" spans="1:10">
      <c r="A133" s="185" t="s">
        <v>539</v>
      </c>
      <c r="B133" s="185" t="s">
        <v>540</v>
      </c>
      <c r="C133" s="186" t="s">
        <v>176</v>
      </c>
      <c r="D133" s="185">
        <v>0</v>
      </c>
      <c r="E133" s="185" t="s">
        <v>365</v>
      </c>
      <c r="F133" s="185">
        <v>2100</v>
      </c>
      <c r="G133" s="185" t="s">
        <v>419</v>
      </c>
      <c r="H133" s="187"/>
      <c r="I133" s="188"/>
      <c r="J133" s="189">
        <v>0.3</v>
      </c>
    </row>
    <row r="134" spans="1:10">
      <c r="A134" s="185" t="s">
        <v>541</v>
      </c>
      <c r="B134" s="185" t="s">
        <v>542</v>
      </c>
      <c r="C134" s="186" t="s">
        <v>180</v>
      </c>
      <c r="D134" s="185">
        <v>0</v>
      </c>
      <c r="E134" s="185"/>
      <c r="F134" s="185">
        <v>4150</v>
      </c>
      <c r="G134" s="185" t="s">
        <v>357</v>
      </c>
      <c r="H134" s="187"/>
      <c r="I134" s="188"/>
      <c r="J134" s="189">
        <v>0.155555555555556</v>
      </c>
    </row>
    <row r="135" spans="1:10">
      <c r="A135" s="185" t="s">
        <v>543</v>
      </c>
      <c r="B135" s="185" t="s">
        <v>544</v>
      </c>
      <c r="C135" s="186" t="s">
        <v>180</v>
      </c>
      <c r="D135" s="185">
        <v>0</v>
      </c>
      <c r="E135" s="185"/>
      <c r="F135" s="185">
        <v>4150</v>
      </c>
      <c r="G135" s="185" t="s">
        <v>357</v>
      </c>
      <c r="H135" s="187"/>
      <c r="I135" s="188"/>
      <c r="J135" s="189">
        <v>0.17777777777777801</v>
      </c>
    </row>
    <row r="136" spans="1:10">
      <c r="A136" s="185" t="s">
        <v>545</v>
      </c>
      <c r="B136" s="185" t="s">
        <v>546</v>
      </c>
      <c r="C136" s="186" t="s">
        <v>180</v>
      </c>
      <c r="D136" s="185">
        <v>0</v>
      </c>
      <c r="E136" s="185"/>
      <c r="F136" s="185">
        <v>4150</v>
      </c>
      <c r="G136" s="185" t="s">
        <v>357</v>
      </c>
      <c r="H136" s="187"/>
      <c r="I136" s="188"/>
      <c r="J136" s="189">
        <v>0.133333333333333</v>
      </c>
    </row>
    <row r="137" spans="1:10">
      <c r="A137" s="185" t="s">
        <v>547</v>
      </c>
      <c r="B137" s="185" t="s">
        <v>548</v>
      </c>
      <c r="C137" s="186" t="s">
        <v>180</v>
      </c>
      <c r="D137" s="185">
        <v>0</v>
      </c>
      <c r="E137" s="185"/>
      <c r="F137" s="185">
        <v>4150</v>
      </c>
      <c r="G137" s="185" t="s">
        <v>347</v>
      </c>
      <c r="H137" s="187"/>
      <c r="I137" s="188"/>
      <c r="J137" s="189">
        <v>9.6</v>
      </c>
    </row>
    <row r="138" spans="1:10">
      <c r="A138" s="185" t="s">
        <v>549</v>
      </c>
      <c r="B138" s="185" t="s">
        <v>550</v>
      </c>
      <c r="C138" s="186" t="s">
        <v>180</v>
      </c>
      <c r="D138" s="185">
        <v>0</v>
      </c>
      <c r="E138" s="185"/>
      <c r="F138" s="185">
        <v>4150</v>
      </c>
      <c r="G138" s="185" t="s">
        <v>357</v>
      </c>
      <c r="H138" s="187"/>
      <c r="I138" s="188"/>
      <c r="J138" s="189">
        <v>14.733333333333301</v>
      </c>
    </row>
    <row r="139" spans="1:10">
      <c r="A139" s="185" t="s">
        <v>551</v>
      </c>
      <c r="B139" s="185" t="s">
        <v>552</v>
      </c>
      <c r="C139" s="186" t="s">
        <v>180</v>
      </c>
      <c r="D139" s="185">
        <v>0</v>
      </c>
      <c r="E139" s="185"/>
      <c r="F139" s="185">
        <v>4150</v>
      </c>
      <c r="G139" s="185" t="s">
        <v>347</v>
      </c>
      <c r="H139" s="187"/>
      <c r="I139" s="188"/>
      <c r="J139" s="189">
        <v>8</v>
      </c>
    </row>
    <row r="140" spans="1:10">
      <c r="A140" s="185" t="s">
        <v>553</v>
      </c>
      <c r="B140" s="185" t="s">
        <v>554</v>
      </c>
      <c r="C140" s="186" t="s">
        <v>180</v>
      </c>
      <c r="D140" s="185">
        <v>0</v>
      </c>
      <c r="E140" s="185"/>
      <c r="F140" s="185">
        <v>4150</v>
      </c>
      <c r="G140" s="185" t="s">
        <v>347</v>
      </c>
      <c r="H140" s="187"/>
      <c r="I140" s="188"/>
      <c r="J140" s="189">
        <v>8</v>
      </c>
    </row>
    <row r="141" spans="1:10">
      <c r="A141" s="185" t="s">
        <v>555</v>
      </c>
      <c r="B141" s="185" t="s">
        <v>556</v>
      </c>
      <c r="C141" s="186" t="s">
        <v>180</v>
      </c>
      <c r="D141" s="185" t="s">
        <v>1734</v>
      </c>
      <c r="E141" s="185"/>
      <c r="F141" s="185">
        <v>2150</v>
      </c>
      <c r="G141" s="185" t="s">
        <v>338</v>
      </c>
      <c r="H141" s="187"/>
      <c r="I141" s="188"/>
      <c r="J141" s="189">
        <v>15.6666666666667</v>
      </c>
    </row>
    <row r="142" spans="1:10">
      <c r="A142" s="185" t="s">
        <v>557</v>
      </c>
      <c r="B142" s="185" t="s">
        <v>558</v>
      </c>
      <c r="C142" s="186" t="s">
        <v>180</v>
      </c>
      <c r="D142" s="185" t="s">
        <v>1734</v>
      </c>
      <c r="E142" s="185"/>
      <c r="F142" s="185">
        <v>2150</v>
      </c>
      <c r="G142" s="185" t="s">
        <v>338</v>
      </c>
      <c r="H142" s="187"/>
      <c r="I142" s="188"/>
      <c r="J142" s="189">
        <v>18.3333333333333</v>
      </c>
    </row>
    <row r="143" spans="1:10">
      <c r="A143" s="185" t="s">
        <v>559</v>
      </c>
      <c r="B143" s="185" t="s">
        <v>560</v>
      </c>
      <c r="C143" s="186" t="s">
        <v>180</v>
      </c>
      <c r="D143" s="185">
        <v>0</v>
      </c>
      <c r="E143" s="185"/>
      <c r="F143" s="185">
        <v>4150</v>
      </c>
      <c r="G143" s="185" t="s">
        <v>374</v>
      </c>
      <c r="H143" s="187"/>
      <c r="I143" s="188"/>
      <c r="J143" s="189">
        <v>11.4285714285714</v>
      </c>
    </row>
    <row r="144" spans="1:10">
      <c r="A144" s="185" t="s">
        <v>561</v>
      </c>
      <c r="B144" s="185" t="s">
        <v>562</v>
      </c>
      <c r="C144" s="186" t="s">
        <v>180</v>
      </c>
      <c r="D144" s="185">
        <v>0</v>
      </c>
      <c r="E144" s="185"/>
      <c r="F144" s="185">
        <v>4150</v>
      </c>
      <c r="G144" s="185" t="s">
        <v>374</v>
      </c>
      <c r="H144" s="187"/>
      <c r="I144" s="188"/>
      <c r="J144" s="189">
        <v>13.4285714285714</v>
      </c>
    </row>
    <row r="145" spans="1:10">
      <c r="A145" s="185" t="s">
        <v>563</v>
      </c>
      <c r="B145" s="185" t="s">
        <v>564</v>
      </c>
      <c r="C145" s="186" t="s">
        <v>180</v>
      </c>
      <c r="D145" s="185">
        <v>0</v>
      </c>
      <c r="E145" s="185"/>
      <c r="F145" s="185">
        <v>4150</v>
      </c>
      <c r="G145" s="185" t="s">
        <v>374</v>
      </c>
      <c r="H145" s="187"/>
      <c r="I145" s="188"/>
      <c r="J145" s="189">
        <v>16.6142857142857</v>
      </c>
    </row>
    <row r="146" spans="1:10">
      <c r="A146" s="185" t="s">
        <v>565</v>
      </c>
      <c r="B146" s="185" t="s">
        <v>566</v>
      </c>
      <c r="C146" s="186" t="s">
        <v>180</v>
      </c>
      <c r="D146" s="185">
        <v>0</v>
      </c>
      <c r="E146" s="185"/>
      <c r="F146" s="185">
        <v>2150</v>
      </c>
      <c r="G146" s="185" t="s">
        <v>567</v>
      </c>
      <c r="H146" s="187"/>
      <c r="I146" s="188"/>
      <c r="J146" s="189">
        <v>3.6</v>
      </c>
    </row>
    <row r="147" spans="1:10">
      <c r="A147" s="185" t="s">
        <v>568</v>
      </c>
      <c r="B147" s="185" t="s">
        <v>569</v>
      </c>
      <c r="C147" s="186" t="s">
        <v>180</v>
      </c>
      <c r="D147" s="185">
        <v>0</v>
      </c>
      <c r="E147" s="185"/>
      <c r="F147" s="185">
        <v>2150</v>
      </c>
      <c r="G147" s="185" t="s">
        <v>567</v>
      </c>
      <c r="H147" s="187"/>
      <c r="I147" s="188"/>
      <c r="J147" s="189">
        <v>4.2</v>
      </c>
    </row>
    <row r="148" spans="1:10">
      <c r="A148" s="185" t="s">
        <v>570</v>
      </c>
      <c r="B148" s="185" t="s">
        <v>571</v>
      </c>
      <c r="C148" s="186" t="s">
        <v>180</v>
      </c>
      <c r="D148" s="185">
        <v>0</v>
      </c>
      <c r="E148" s="185"/>
      <c r="F148" s="185">
        <v>2150</v>
      </c>
      <c r="G148" s="185" t="s">
        <v>567</v>
      </c>
      <c r="H148" s="187"/>
      <c r="I148" s="188"/>
      <c r="J148" s="189">
        <v>1.6</v>
      </c>
    </row>
    <row r="149" spans="1:10">
      <c r="A149" s="185" t="s">
        <v>572</v>
      </c>
      <c r="B149" s="185" t="s">
        <v>573</v>
      </c>
      <c r="C149" s="186" t="s">
        <v>180</v>
      </c>
      <c r="D149" s="185">
        <v>0</v>
      </c>
      <c r="E149" s="185"/>
      <c r="F149" s="185">
        <v>2150</v>
      </c>
      <c r="G149" s="185" t="s">
        <v>567</v>
      </c>
      <c r="H149" s="187"/>
      <c r="I149" s="188"/>
      <c r="J149" s="189">
        <v>1</v>
      </c>
    </row>
    <row r="150" spans="1:10">
      <c r="A150" s="185" t="s">
        <v>574</v>
      </c>
      <c r="B150" s="185" t="s">
        <v>575</v>
      </c>
      <c r="C150" s="186" t="s">
        <v>180</v>
      </c>
      <c r="D150" s="185">
        <v>0</v>
      </c>
      <c r="E150" s="185"/>
      <c r="F150" s="185">
        <v>2150</v>
      </c>
      <c r="G150" s="185" t="s">
        <v>567</v>
      </c>
      <c r="H150" s="187"/>
      <c r="I150" s="188"/>
      <c r="J150" s="189">
        <v>10.4</v>
      </c>
    </row>
    <row r="151" spans="1:10">
      <c r="A151" s="185" t="s">
        <v>576</v>
      </c>
      <c r="B151" s="185" t="s">
        <v>577</v>
      </c>
      <c r="C151" s="186" t="s">
        <v>180</v>
      </c>
      <c r="D151" s="185">
        <v>0</v>
      </c>
      <c r="E151" s="185"/>
      <c r="F151" s="185">
        <v>2150</v>
      </c>
      <c r="G151" s="185" t="s">
        <v>567</v>
      </c>
      <c r="H151" s="187"/>
      <c r="I151" s="188"/>
      <c r="J151" s="189">
        <v>1</v>
      </c>
    </row>
    <row r="152" spans="1:10">
      <c r="A152" s="185" t="s">
        <v>578</v>
      </c>
      <c r="B152" s="185" t="s">
        <v>579</v>
      </c>
      <c r="C152" s="186" t="s">
        <v>180</v>
      </c>
      <c r="D152" s="185">
        <v>0</v>
      </c>
      <c r="E152" s="185"/>
      <c r="F152" s="185">
        <v>2150</v>
      </c>
      <c r="G152" s="185" t="s">
        <v>567</v>
      </c>
      <c r="H152" s="187"/>
      <c r="I152" s="188"/>
      <c r="J152" s="189">
        <v>10</v>
      </c>
    </row>
    <row r="153" spans="1:10">
      <c r="A153" s="185" t="s">
        <v>580</v>
      </c>
      <c r="B153" s="185" t="s">
        <v>581</v>
      </c>
      <c r="C153" s="186" t="s">
        <v>180</v>
      </c>
      <c r="D153" s="185">
        <v>0</v>
      </c>
      <c r="E153" s="185"/>
      <c r="F153" s="185">
        <v>2150</v>
      </c>
      <c r="G153" s="185" t="s">
        <v>567</v>
      </c>
      <c r="H153" s="187"/>
      <c r="I153" s="188"/>
      <c r="J153" s="189">
        <v>1</v>
      </c>
    </row>
    <row r="154" spans="1:10">
      <c r="A154" s="185" t="s">
        <v>582</v>
      </c>
      <c r="B154" s="185" t="s">
        <v>583</v>
      </c>
      <c r="C154" s="186" t="s">
        <v>180</v>
      </c>
      <c r="D154" s="185">
        <v>0</v>
      </c>
      <c r="E154" s="185"/>
      <c r="F154" s="185">
        <v>2150</v>
      </c>
      <c r="G154" s="185" t="s">
        <v>567</v>
      </c>
      <c r="H154" s="187"/>
      <c r="I154" s="188"/>
      <c r="J154" s="189">
        <v>2</v>
      </c>
    </row>
    <row r="155" spans="1:10">
      <c r="A155" s="185" t="s">
        <v>584</v>
      </c>
      <c r="B155" s="185" t="s">
        <v>585</v>
      </c>
      <c r="C155" s="186" t="s">
        <v>180</v>
      </c>
      <c r="D155" s="185">
        <v>0</v>
      </c>
      <c r="E155" s="185"/>
      <c r="F155" s="185">
        <v>2150</v>
      </c>
      <c r="G155" s="185" t="s">
        <v>567</v>
      </c>
      <c r="H155" s="187"/>
      <c r="I155" s="188"/>
      <c r="J155" s="189">
        <v>3.6</v>
      </c>
    </row>
    <row r="156" spans="1:10">
      <c r="A156" s="185" t="s">
        <v>586</v>
      </c>
      <c r="B156" s="185" t="s">
        <v>587</v>
      </c>
      <c r="C156" s="186" t="s">
        <v>180</v>
      </c>
      <c r="D156" s="185">
        <v>0</v>
      </c>
      <c r="E156" s="185"/>
      <c r="F156" s="185">
        <v>2150</v>
      </c>
      <c r="G156" s="185" t="s">
        <v>567</v>
      </c>
      <c r="H156" s="187"/>
      <c r="I156" s="188"/>
      <c r="J156" s="189">
        <v>9.4</v>
      </c>
    </row>
    <row r="157" spans="1:10">
      <c r="A157" s="185" t="s">
        <v>588</v>
      </c>
      <c r="B157" s="185" t="s">
        <v>589</v>
      </c>
      <c r="C157" s="186" t="s">
        <v>180</v>
      </c>
      <c r="D157" s="185">
        <v>0</v>
      </c>
      <c r="E157" s="185"/>
      <c r="F157" s="185">
        <v>2150</v>
      </c>
      <c r="G157" s="185" t="s">
        <v>567</v>
      </c>
      <c r="H157" s="187"/>
      <c r="I157" s="188"/>
      <c r="J157" s="189">
        <v>10.6</v>
      </c>
    </row>
    <row r="158" spans="1:10">
      <c r="A158" s="185" t="s">
        <v>590</v>
      </c>
      <c r="B158" s="185" t="s">
        <v>591</v>
      </c>
      <c r="C158" s="186" t="s">
        <v>180</v>
      </c>
      <c r="D158" s="185">
        <v>0</v>
      </c>
      <c r="E158" s="185"/>
      <c r="F158" s="185">
        <v>2150</v>
      </c>
      <c r="G158" s="185" t="s">
        <v>567</v>
      </c>
      <c r="H158" s="187"/>
      <c r="I158" s="188"/>
      <c r="J158" s="189">
        <v>9.1999999999999993</v>
      </c>
    </row>
    <row r="159" spans="1:10">
      <c r="A159" s="185" t="s">
        <v>592</v>
      </c>
      <c r="B159" s="185" t="s">
        <v>593</v>
      </c>
      <c r="C159" s="186" t="s">
        <v>180</v>
      </c>
      <c r="D159" s="185">
        <v>0</v>
      </c>
      <c r="E159" s="185"/>
      <c r="F159" s="185">
        <v>4150</v>
      </c>
      <c r="G159" s="185" t="s">
        <v>357</v>
      </c>
      <c r="H159" s="187"/>
      <c r="I159" s="188"/>
      <c r="J159" s="189">
        <v>3.8444444444444401</v>
      </c>
    </row>
    <row r="160" spans="1:10">
      <c r="A160" s="185" t="s">
        <v>594</v>
      </c>
      <c r="B160" s="185" t="s">
        <v>595</v>
      </c>
      <c r="C160" s="186" t="s">
        <v>180</v>
      </c>
      <c r="D160" s="185">
        <v>0</v>
      </c>
      <c r="E160" s="185"/>
      <c r="F160" s="185">
        <v>2150</v>
      </c>
      <c r="G160" s="185" t="s">
        <v>567</v>
      </c>
      <c r="H160" s="187"/>
      <c r="I160" s="188"/>
      <c r="J160" s="189">
        <v>0.5</v>
      </c>
    </row>
    <row r="161" spans="1:10">
      <c r="A161" s="185" t="s">
        <v>596</v>
      </c>
      <c r="B161" s="185" t="s">
        <v>597</v>
      </c>
      <c r="C161" s="186" t="s">
        <v>180</v>
      </c>
      <c r="D161" s="185">
        <v>0</v>
      </c>
      <c r="E161" s="185"/>
      <c r="F161" s="185">
        <v>2150</v>
      </c>
      <c r="G161" s="185" t="s">
        <v>567</v>
      </c>
      <c r="H161" s="187"/>
      <c r="I161" s="188"/>
      <c r="J161" s="189">
        <v>0.5</v>
      </c>
    </row>
    <row r="162" spans="1:10">
      <c r="A162" s="185" t="s">
        <v>598</v>
      </c>
      <c r="B162" s="185" t="s">
        <v>599</v>
      </c>
      <c r="C162" s="186" t="s">
        <v>180</v>
      </c>
      <c r="D162" s="185">
        <v>0</v>
      </c>
      <c r="E162" s="185"/>
      <c r="F162" s="185">
        <v>4150</v>
      </c>
      <c r="G162" s="185" t="s">
        <v>374</v>
      </c>
      <c r="H162" s="187"/>
      <c r="I162" s="188"/>
      <c r="J162" s="189">
        <v>342.28571428571399</v>
      </c>
    </row>
    <row r="163" spans="1:10">
      <c r="A163" s="185" t="s">
        <v>600</v>
      </c>
      <c r="B163" s="185" t="s">
        <v>601</v>
      </c>
      <c r="C163" s="186" t="s">
        <v>180</v>
      </c>
      <c r="D163" s="185">
        <v>0</v>
      </c>
      <c r="E163" s="185"/>
      <c r="F163" s="185">
        <v>4150</v>
      </c>
      <c r="G163" s="185" t="s">
        <v>374</v>
      </c>
      <c r="H163" s="187"/>
      <c r="I163" s="188"/>
      <c r="J163" s="189">
        <v>124.071428571429</v>
      </c>
    </row>
    <row r="164" spans="1:10">
      <c r="A164" s="185" t="s">
        <v>602</v>
      </c>
      <c r="B164" s="185" t="s">
        <v>603</v>
      </c>
      <c r="C164" s="186" t="s">
        <v>180</v>
      </c>
      <c r="D164" s="185">
        <v>0</v>
      </c>
      <c r="E164" s="185"/>
      <c r="F164" s="185">
        <v>4150</v>
      </c>
      <c r="G164" s="185" t="s">
        <v>374</v>
      </c>
      <c r="H164" s="187"/>
      <c r="I164" s="188"/>
      <c r="J164" s="189">
        <v>278.92857142857099</v>
      </c>
    </row>
    <row r="165" spans="1:10">
      <c r="A165" s="185" t="s">
        <v>604</v>
      </c>
      <c r="B165" s="185" t="s">
        <v>605</v>
      </c>
      <c r="C165" s="186" t="s">
        <v>180</v>
      </c>
      <c r="D165" s="185">
        <v>0</v>
      </c>
      <c r="E165" s="185"/>
      <c r="F165" s="185">
        <v>4150</v>
      </c>
      <c r="G165" s="185" t="s">
        <v>374</v>
      </c>
      <c r="H165" s="187"/>
      <c r="I165" s="188"/>
      <c r="J165" s="189">
        <v>295</v>
      </c>
    </row>
    <row r="166" spans="1:10">
      <c r="A166" s="185" t="s">
        <v>606</v>
      </c>
      <c r="B166" s="185" t="s">
        <v>607</v>
      </c>
      <c r="C166" s="186" t="s">
        <v>180</v>
      </c>
      <c r="D166" s="185">
        <v>0</v>
      </c>
      <c r="E166" s="185"/>
      <c r="F166" s="185">
        <v>4150</v>
      </c>
      <c r="G166" s="185" t="s">
        <v>374</v>
      </c>
      <c r="H166" s="187"/>
      <c r="I166" s="188"/>
      <c r="J166" s="189">
        <v>77.528571428571396</v>
      </c>
    </row>
    <row r="167" spans="1:10">
      <c r="A167" s="185" t="s">
        <v>608</v>
      </c>
      <c r="B167" s="185" t="s">
        <v>609</v>
      </c>
      <c r="C167" s="186" t="s">
        <v>180</v>
      </c>
      <c r="D167" s="185">
        <v>0</v>
      </c>
      <c r="E167" s="185"/>
      <c r="F167" s="185">
        <v>2150</v>
      </c>
      <c r="G167" s="185" t="s">
        <v>352</v>
      </c>
      <c r="H167" s="187"/>
      <c r="I167" s="188"/>
      <c r="J167" s="189">
        <v>35.366666666666703</v>
      </c>
    </row>
    <row r="168" spans="1:10">
      <c r="A168" s="185" t="s">
        <v>610</v>
      </c>
      <c r="B168" s="185" t="s">
        <v>611</v>
      </c>
      <c r="C168" s="186" t="s">
        <v>180</v>
      </c>
      <c r="D168" s="185">
        <v>0</v>
      </c>
      <c r="E168" s="185"/>
      <c r="F168" s="185">
        <v>2150</v>
      </c>
      <c r="G168" s="185" t="s">
        <v>352</v>
      </c>
      <c r="H168" s="187"/>
      <c r="I168" s="188"/>
      <c r="J168" s="189">
        <v>32.5</v>
      </c>
    </row>
    <row r="169" spans="1:10">
      <c r="A169" s="185" t="s">
        <v>612</v>
      </c>
      <c r="B169" s="185" t="s">
        <v>613</v>
      </c>
      <c r="C169" s="186" t="s">
        <v>176</v>
      </c>
      <c r="D169" s="185">
        <v>0</v>
      </c>
      <c r="E169" s="185" t="s">
        <v>365</v>
      </c>
      <c r="F169" s="185">
        <v>2100</v>
      </c>
      <c r="G169" s="185" t="s">
        <v>419</v>
      </c>
      <c r="H169" s="187"/>
      <c r="I169" s="188"/>
      <c r="J169" s="189">
        <v>0.3</v>
      </c>
    </row>
    <row r="170" spans="1:10">
      <c r="A170" s="185" t="s">
        <v>614</v>
      </c>
      <c r="B170" s="185" t="s">
        <v>615</v>
      </c>
      <c r="C170" s="186" t="s">
        <v>180</v>
      </c>
      <c r="D170" s="185">
        <v>0</v>
      </c>
      <c r="E170" s="185"/>
      <c r="F170" s="185">
        <v>4150</v>
      </c>
      <c r="G170" s="185" t="s">
        <v>347</v>
      </c>
      <c r="H170" s="187"/>
      <c r="I170" s="188"/>
      <c r="J170" s="189">
        <v>12.866666666666699</v>
      </c>
    </row>
    <row r="171" spans="1:10">
      <c r="A171" s="185" t="s">
        <v>616</v>
      </c>
      <c r="B171" s="185" t="s">
        <v>617</v>
      </c>
      <c r="C171" s="186" t="s">
        <v>180</v>
      </c>
      <c r="D171" s="185">
        <v>0</v>
      </c>
      <c r="E171" s="185"/>
      <c r="F171" s="185">
        <v>4150</v>
      </c>
      <c r="G171" s="185" t="s">
        <v>347</v>
      </c>
      <c r="H171" s="187"/>
      <c r="I171" s="188"/>
      <c r="J171" s="189">
        <v>7.5333333333333297</v>
      </c>
    </row>
    <row r="172" spans="1:10">
      <c r="A172" s="185" t="s">
        <v>618</v>
      </c>
      <c r="B172" s="185" t="s">
        <v>619</v>
      </c>
      <c r="C172" s="186" t="s">
        <v>180</v>
      </c>
      <c r="D172" s="185">
        <v>0</v>
      </c>
      <c r="E172" s="185"/>
      <c r="F172" s="185">
        <v>4150</v>
      </c>
      <c r="G172" s="185" t="s">
        <v>347</v>
      </c>
      <c r="H172" s="187"/>
      <c r="I172" s="188"/>
      <c r="J172" s="189">
        <v>24.0833333333333</v>
      </c>
    </row>
    <row r="173" spans="1:10">
      <c r="A173" s="185" t="s">
        <v>620</v>
      </c>
      <c r="B173" s="185" t="s">
        <v>621</v>
      </c>
      <c r="C173" s="186" t="s">
        <v>180</v>
      </c>
      <c r="D173" s="185">
        <v>0</v>
      </c>
      <c r="E173" s="185"/>
      <c r="F173" s="185">
        <v>4150</v>
      </c>
      <c r="G173" s="185" t="s">
        <v>347</v>
      </c>
      <c r="H173" s="187"/>
      <c r="I173" s="188"/>
      <c r="J173" s="189">
        <v>23.1</v>
      </c>
    </row>
    <row r="174" spans="1:10">
      <c r="A174" s="185" t="s">
        <v>622</v>
      </c>
      <c r="B174" s="185" t="s">
        <v>623</v>
      </c>
      <c r="C174" s="186" t="s">
        <v>176</v>
      </c>
      <c r="D174" s="185">
        <v>0</v>
      </c>
      <c r="E174" s="185" t="s">
        <v>365</v>
      </c>
      <c r="F174" s="185">
        <v>2100</v>
      </c>
      <c r="G174" s="185" t="s">
        <v>419</v>
      </c>
      <c r="H174" s="187"/>
      <c r="I174" s="188"/>
      <c r="J174" s="189">
        <v>0.3</v>
      </c>
    </row>
    <row r="175" spans="1:10">
      <c r="A175" s="185" t="s">
        <v>624</v>
      </c>
      <c r="B175" s="185" t="s">
        <v>625</v>
      </c>
      <c r="C175" s="186" t="s">
        <v>176</v>
      </c>
      <c r="D175" s="185">
        <v>0</v>
      </c>
      <c r="E175" s="185" t="s">
        <v>365</v>
      </c>
      <c r="F175" s="185">
        <v>2100</v>
      </c>
      <c r="G175" s="185" t="s">
        <v>419</v>
      </c>
      <c r="H175" s="187"/>
      <c r="I175" s="188"/>
      <c r="J175" s="189">
        <v>0.3</v>
      </c>
    </row>
    <row r="176" spans="1:10">
      <c r="A176" s="185" t="s">
        <v>626</v>
      </c>
      <c r="B176" s="185" t="s">
        <v>627</v>
      </c>
      <c r="C176" s="186" t="s">
        <v>176</v>
      </c>
      <c r="D176" s="185">
        <v>0</v>
      </c>
      <c r="E176" s="185" t="s">
        <v>365</v>
      </c>
      <c r="F176" s="185">
        <v>2100</v>
      </c>
      <c r="G176" s="185" t="s">
        <v>419</v>
      </c>
      <c r="H176" s="187"/>
      <c r="I176" s="188"/>
      <c r="J176" s="189">
        <v>0.3</v>
      </c>
    </row>
    <row r="177" spans="1:10">
      <c r="A177" s="185" t="s">
        <v>628</v>
      </c>
      <c r="B177" s="185" t="s">
        <v>629</v>
      </c>
      <c r="C177" s="186" t="s">
        <v>176</v>
      </c>
      <c r="D177" s="185">
        <v>0</v>
      </c>
      <c r="E177" s="185" t="s">
        <v>365</v>
      </c>
      <c r="F177" s="185">
        <v>2100</v>
      </c>
      <c r="G177" s="185" t="s">
        <v>419</v>
      </c>
      <c r="H177" s="187"/>
      <c r="I177" s="188"/>
      <c r="J177" s="189">
        <v>0.3</v>
      </c>
    </row>
    <row r="178" spans="1:10">
      <c r="A178" s="185" t="s">
        <v>630</v>
      </c>
      <c r="B178" s="185" t="s">
        <v>631</v>
      </c>
      <c r="C178" s="186" t="s">
        <v>176</v>
      </c>
      <c r="D178" s="185" t="s">
        <v>637</v>
      </c>
      <c r="E178" s="185" t="s">
        <v>336</v>
      </c>
      <c r="F178" s="185">
        <v>2100</v>
      </c>
      <c r="G178" s="185" t="s">
        <v>419</v>
      </c>
      <c r="H178" s="187"/>
      <c r="I178" s="188"/>
      <c r="J178" s="189">
        <v>0.3</v>
      </c>
    </row>
    <row r="179" spans="1:10">
      <c r="A179" s="185" t="s">
        <v>632</v>
      </c>
      <c r="B179" s="185" t="s">
        <v>633</v>
      </c>
      <c r="C179" s="186" t="s">
        <v>180</v>
      </c>
      <c r="D179" s="185" t="s">
        <v>634</v>
      </c>
      <c r="E179" s="185"/>
      <c r="F179" s="185">
        <v>2150</v>
      </c>
      <c r="G179" s="185" t="s">
        <v>352</v>
      </c>
      <c r="H179" s="187"/>
      <c r="I179" s="188"/>
      <c r="J179" s="189">
        <v>48.3333333333333</v>
      </c>
    </row>
    <row r="180" spans="1:10">
      <c r="A180" s="185" t="s">
        <v>635</v>
      </c>
      <c r="B180" s="185" t="s">
        <v>636</v>
      </c>
      <c r="C180" s="186" t="s">
        <v>180</v>
      </c>
      <c r="D180" s="185" t="s">
        <v>637</v>
      </c>
      <c r="E180" s="185"/>
      <c r="F180" s="185">
        <v>2150</v>
      </c>
      <c r="G180" s="185" t="s">
        <v>352</v>
      </c>
      <c r="H180" s="187"/>
      <c r="I180" s="188"/>
      <c r="J180" s="189">
        <v>75</v>
      </c>
    </row>
    <row r="181" spans="1:10">
      <c r="A181" s="185" t="s">
        <v>638</v>
      </c>
      <c r="B181" s="185" t="s">
        <v>639</v>
      </c>
      <c r="C181" s="186" t="s">
        <v>180</v>
      </c>
      <c r="D181" s="185">
        <v>0</v>
      </c>
      <c r="E181" s="185"/>
      <c r="F181" s="185">
        <v>4150</v>
      </c>
      <c r="G181" s="185" t="s">
        <v>347</v>
      </c>
      <c r="H181" s="187"/>
      <c r="I181" s="188"/>
      <c r="J181" s="189">
        <v>6.4833333333333298</v>
      </c>
    </row>
    <row r="182" spans="1:10">
      <c r="A182" s="185" t="s">
        <v>640</v>
      </c>
      <c r="B182" s="185" t="s">
        <v>641</v>
      </c>
      <c r="C182" s="186" t="s">
        <v>180</v>
      </c>
      <c r="D182" s="185">
        <v>0</v>
      </c>
      <c r="E182" s="185"/>
      <c r="F182" s="185">
        <v>4150</v>
      </c>
      <c r="G182" s="185" t="s">
        <v>357</v>
      </c>
      <c r="H182" s="187"/>
      <c r="I182" s="188"/>
      <c r="J182" s="189">
        <v>9.2444444444444507</v>
      </c>
    </row>
    <row r="183" spans="1:10">
      <c r="A183" s="185" t="s">
        <v>642</v>
      </c>
      <c r="B183" s="185" t="s">
        <v>643</v>
      </c>
      <c r="C183" s="186" t="s">
        <v>180</v>
      </c>
      <c r="D183" s="185">
        <v>0</v>
      </c>
      <c r="E183" s="185"/>
      <c r="F183" s="185">
        <v>4150</v>
      </c>
      <c r="G183" s="185" t="s">
        <v>357</v>
      </c>
      <c r="H183" s="187"/>
      <c r="I183" s="188"/>
      <c r="J183" s="189">
        <v>15.3777777777778</v>
      </c>
    </row>
    <row r="184" spans="1:10">
      <c r="A184" s="185" t="s">
        <v>644</v>
      </c>
      <c r="B184" s="185" t="s">
        <v>645</v>
      </c>
      <c r="C184" s="186" t="s">
        <v>180</v>
      </c>
      <c r="D184" s="185">
        <v>0</v>
      </c>
      <c r="E184" s="185"/>
      <c r="F184" s="185">
        <v>2150</v>
      </c>
      <c r="G184" s="185" t="s">
        <v>352</v>
      </c>
      <c r="H184" s="187"/>
      <c r="I184" s="188"/>
      <c r="J184" s="189">
        <v>8.7833333333333297</v>
      </c>
    </row>
    <row r="185" spans="1:10">
      <c r="A185" s="185" t="s">
        <v>646</v>
      </c>
      <c r="B185" s="185" t="s">
        <v>647</v>
      </c>
      <c r="C185" s="186" t="s">
        <v>180</v>
      </c>
      <c r="D185" s="185" t="s">
        <v>637</v>
      </c>
      <c r="E185" s="185"/>
      <c r="F185" s="185">
        <v>2150</v>
      </c>
      <c r="G185" s="185" t="s">
        <v>352</v>
      </c>
      <c r="H185" s="187"/>
      <c r="I185" s="188"/>
      <c r="J185" s="189">
        <v>26.2</v>
      </c>
    </row>
    <row r="186" spans="1:10">
      <c r="A186" s="185" t="s">
        <v>648</v>
      </c>
      <c r="B186" s="185" t="s">
        <v>649</v>
      </c>
      <c r="C186" s="186" t="s">
        <v>180</v>
      </c>
      <c r="D186" s="185">
        <v>0</v>
      </c>
      <c r="E186" s="185"/>
      <c r="F186" s="185">
        <v>4150</v>
      </c>
      <c r="G186" s="185" t="s">
        <v>347</v>
      </c>
      <c r="H186" s="187"/>
      <c r="I186" s="188"/>
      <c r="J186" s="189">
        <v>0.55000000000000004</v>
      </c>
    </row>
    <row r="187" spans="1:10">
      <c r="A187" s="185" t="s">
        <v>650</v>
      </c>
      <c r="B187" s="185" t="s">
        <v>651</v>
      </c>
      <c r="C187" s="186" t="s">
        <v>180</v>
      </c>
      <c r="D187" s="185">
        <v>0</v>
      </c>
      <c r="E187" s="185"/>
      <c r="F187" s="185">
        <v>4150</v>
      </c>
      <c r="G187" s="185" t="s">
        <v>347</v>
      </c>
      <c r="H187" s="187"/>
      <c r="I187" s="188"/>
      <c r="J187" s="189">
        <v>0.65</v>
      </c>
    </row>
    <row r="188" spans="1:10">
      <c r="A188" s="185" t="s">
        <v>652</v>
      </c>
      <c r="B188" s="185" t="s">
        <v>653</v>
      </c>
      <c r="C188" s="186" t="s">
        <v>180</v>
      </c>
      <c r="D188" s="185">
        <v>0</v>
      </c>
      <c r="E188" s="185"/>
      <c r="F188" s="185">
        <v>4150</v>
      </c>
      <c r="G188" s="185" t="s">
        <v>419</v>
      </c>
      <c r="H188" s="187"/>
      <c r="I188" s="188"/>
      <c r="J188" s="189">
        <v>2.5285714285714298</v>
      </c>
    </row>
    <row r="189" spans="1:10">
      <c r="A189" s="185" t="s">
        <v>654</v>
      </c>
      <c r="B189" s="185" t="s">
        <v>655</v>
      </c>
      <c r="C189" s="186" t="s">
        <v>180</v>
      </c>
      <c r="D189" s="185">
        <v>0</v>
      </c>
      <c r="E189" s="185"/>
      <c r="F189" s="185">
        <v>4150</v>
      </c>
      <c r="G189" s="185" t="s">
        <v>419</v>
      </c>
      <c r="H189" s="187"/>
      <c r="I189" s="188"/>
      <c r="J189" s="189">
        <v>8.5714285714285701E-2</v>
      </c>
    </row>
    <row r="190" spans="1:10">
      <c r="A190" s="185" t="s">
        <v>656</v>
      </c>
      <c r="B190" s="185" t="s">
        <v>657</v>
      </c>
      <c r="C190" s="186" t="s">
        <v>180</v>
      </c>
      <c r="D190" s="185">
        <v>0</v>
      </c>
      <c r="E190" s="185"/>
      <c r="F190" s="185">
        <v>4150</v>
      </c>
      <c r="G190" s="185" t="s">
        <v>347</v>
      </c>
      <c r="H190" s="187"/>
      <c r="I190" s="188"/>
      <c r="J190" s="189">
        <v>7.7</v>
      </c>
    </row>
    <row r="191" spans="1:10">
      <c r="A191" s="185" t="s">
        <v>658</v>
      </c>
      <c r="B191" s="185" t="s">
        <v>659</v>
      </c>
      <c r="C191" s="186" t="s">
        <v>180</v>
      </c>
      <c r="D191" s="185">
        <v>0</v>
      </c>
      <c r="E191" s="185"/>
      <c r="F191" s="185">
        <v>4150</v>
      </c>
      <c r="G191" s="185" t="s">
        <v>347</v>
      </c>
      <c r="H191" s="187"/>
      <c r="I191" s="188"/>
      <c r="J191" s="189">
        <v>8.4</v>
      </c>
    </row>
    <row r="192" spans="1:10">
      <c r="A192" s="185" t="s">
        <v>660</v>
      </c>
      <c r="B192" s="185" t="s">
        <v>661</v>
      </c>
      <c r="C192" s="186" t="s">
        <v>180</v>
      </c>
      <c r="D192" s="185">
        <v>0</v>
      </c>
      <c r="E192" s="185"/>
      <c r="F192" s="185">
        <v>4150</v>
      </c>
      <c r="G192" s="185" t="s">
        <v>347</v>
      </c>
      <c r="H192" s="187"/>
      <c r="I192" s="188"/>
      <c r="J192" s="189">
        <v>24.25</v>
      </c>
    </row>
    <row r="193" spans="1:10">
      <c r="A193" s="185" t="s">
        <v>662</v>
      </c>
      <c r="B193" s="185" t="s">
        <v>663</v>
      </c>
      <c r="C193" s="186" t="s">
        <v>180</v>
      </c>
      <c r="D193" s="185">
        <v>0</v>
      </c>
      <c r="E193" s="185"/>
      <c r="F193" s="185">
        <v>4150</v>
      </c>
      <c r="G193" s="185" t="s">
        <v>347</v>
      </c>
      <c r="H193" s="187"/>
      <c r="I193" s="188"/>
      <c r="J193" s="189">
        <v>1.5166666666666699</v>
      </c>
    </row>
    <row r="194" spans="1:10">
      <c r="A194" s="185" t="s">
        <v>664</v>
      </c>
      <c r="B194" s="185" t="s">
        <v>665</v>
      </c>
      <c r="C194" s="186" t="s">
        <v>180</v>
      </c>
      <c r="D194" s="185">
        <v>0</v>
      </c>
      <c r="E194" s="185"/>
      <c r="F194" s="185">
        <v>4150</v>
      </c>
      <c r="G194" s="185" t="s">
        <v>347</v>
      </c>
      <c r="H194" s="187"/>
      <c r="I194" s="188"/>
      <c r="J194" s="189">
        <v>1.4</v>
      </c>
    </row>
    <row r="195" spans="1:10">
      <c r="A195" s="185" t="s">
        <v>666</v>
      </c>
      <c r="B195" s="185" t="s">
        <v>667</v>
      </c>
      <c r="C195" s="186" t="s">
        <v>176</v>
      </c>
      <c r="D195" s="185">
        <v>0</v>
      </c>
      <c r="E195" s="185" t="s">
        <v>365</v>
      </c>
      <c r="F195" s="185">
        <v>4200</v>
      </c>
      <c r="G195" s="185" t="s">
        <v>347</v>
      </c>
      <c r="H195" s="187"/>
      <c r="I195" s="188"/>
      <c r="J195" s="189">
        <v>0.4</v>
      </c>
    </row>
    <row r="196" spans="1:10">
      <c r="A196" s="185" t="s">
        <v>668</v>
      </c>
      <c r="B196" s="185" t="s">
        <v>669</v>
      </c>
      <c r="C196" s="186" t="s">
        <v>180</v>
      </c>
      <c r="D196" s="185">
        <v>0</v>
      </c>
      <c r="E196" s="185"/>
      <c r="F196" s="185">
        <v>4150</v>
      </c>
      <c r="G196" s="185" t="s">
        <v>347</v>
      </c>
      <c r="H196" s="187"/>
      <c r="I196" s="188"/>
      <c r="J196" s="189">
        <v>77.716666666666697</v>
      </c>
    </row>
    <row r="197" spans="1:10">
      <c r="A197" s="185" t="s">
        <v>670</v>
      </c>
      <c r="B197" s="185" t="s">
        <v>671</v>
      </c>
      <c r="C197" s="186" t="s">
        <v>180</v>
      </c>
      <c r="D197" s="185" t="s">
        <v>637</v>
      </c>
      <c r="E197" s="185"/>
      <c r="F197" s="185">
        <v>2150</v>
      </c>
      <c r="G197" s="185" t="s">
        <v>352</v>
      </c>
      <c r="H197" s="187"/>
      <c r="I197" s="188"/>
      <c r="J197" s="189">
        <v>111.666666666667</v>
      </c>
    </row>
    <row r="198" spans="1:10">
      <c r="A198" s="185" t="s">
        <v>672</v>
      </c>
      <c r="B198" s="185" t="s">
        <v>673</v>
      </c>
      <c r="C198" s="186" t="s">
        <v>180</v>
      </c>
      <c r="D198" s="185">
        <v>0</v>
      </c>
      <c r="E198" s="185"/>
      <c r="F198" s="185">
        <v>2150</v>
      </c>
      <c r="G198" s="185" t="s">
        <v>352</v>
      </c>
      <c r="H198" s="187"/>
      <c r="I198" s="188"/>
      <c r="J198" s="189">
        <v>37.633333333333297</v>
      </c>
    </row>
    <row r="199" spans="1:10">
      <c r="A199" s="185" t="s">
        <v>674</v>
      </c>
      <c r="B199" s="185" t="s">
        <v>675</v>
      </c>
      <c r="C199" s="186" t="s">
        <v>180</v>
      </c>
      <c r="D199" s="185" t="s">
        <v>634</v>
      </c>
      <c r="E199" s="185"/>
      <c r="F199" s="185">
        <v>2150</v>
      </c>
      <c r="G199" s="185" t="s">
        <v>352</v>
      </c>
      <c r="H199" s="187"/>
      <c r="I199" s="188"/>
      <c r="J199" s="189">
        <v>191.666666666667</v>
      </c>
    </row>
    <row r="200" spans="1:10">
      <c r="A200" s="185" t="s">
        <v>676</v>
      </c>
      <c r="B200" s="185" t="s">
        <v>677</v>
      </c>
      <c r="C200" s="186" t="s">
        <v>180</v>
      </c>
      <c r="D200" s="185">
        <v>0</v>
      </c>
      <c r="E200" s="185"/>
      <c r="F200" s="185">
        <v>2150</v>
      </c>
      <c r="G200" s="185" t="s">
        <v>352</v>
      </c>
      <c r="H200" s="187"/>
      <c r="I200" s="188"/>
      <c r="J200" s="189">
        <v>19.633333333333301</v>
      </c>
    </row>
    <row r="201" spans="1:10">
      <c r="A201" s="185" t="s">
        <v>678</v>
      </c>
      <c r="B201" s="185" t="s">
        <v>679</v>
      </c>
      <c r="C201" s="186" t="s">
        <v>176</v>
      </c>
      <c r="D201" s="185" t="s">
        <v>637</v>
      </c>
      <c r="E201" s="185" t="s">
        <v>365</v>
      </c>
      <c r="F201" s="185">
        <v>2100</v>
      </c>
      <c r="G201" s="185" t="s">
        <v>419</v>
      </c>
      <c r="H201" s="187"/>
      <c r="I201" s="188"/>
      <c r="J201" s="189">
        <v>0.3</v>
      </c>
    </row>
    <row r="202" spans="1:10">
      <c r="A202" s="185" t="s">
        <v>680</v>
      </c>
      <c r="B202" s="185" t="s">
        <v>681</v>
      </c>
      <c r="C202" s="186" t="s">
        <v>180</v>
      </c>
      <c r="D202" s="185">
        <v>0</v>
      </c>
      <c r="E202" s="185"/>
      <c r="F202" s="185">
        <v>4150</v>
      </c>
      <c r="G202" s="185" t="s">
        <v>357</v>
      </c>
      <c r="H202" s="187"/>
      <c r="I202" s="188"/>
      <c r="J202" s="189">
        <v>199</v>
      </c>
    </row>
    <row r="203" spans="1:10">
      <c r="A203" s="185" t="s">
        <v>682</v>
      </c>
      <c r="B203" s="185" t="s">
        <v>683</v>
      </c>
      <c r="C203" s="186" t="s">
        <v>180</v>
      </c>
      <c r="D203" s="185" t="s">
        <v>637</v>
      </c>
      <c r="E203" s="185"/>
      <c r="F203" s="185">
        <v>4150</v>
      </c>
      <c r="G203" s="185" t="s">
        <v>357</v>
      </c>
      <c r="H203" s="187"/>
      <c r="I203" s="188"/>
      <c r="J203" s="189">
        <v>197.51111111111101</v>
      </c>
    </row>
    <row r="204" spans="1:10">
      <c r="A204" s="185" t="s">
        <v>684</v>
      </c>
      <c r="B204" s="185" t="s">
        <v>685</v>
      </c>
      <c r="C204" s="186" t="s">
        <v>180</v>
      </c>
      <c r="D204" s="185">
        <v>0</v>
      </c>
      <c r="E204" s="185"/>
      <c r="F204" s="185">
        <v>4150</v>
      </c>
      <c r="G204" s="185" t="s">
        <v>347</v>
      </c>
      <c r="H204" s="187"/>
      <c r="I204" s="188"/>
      <c r="J204" s="189">
        <v>19.25</v>
      </c>
    </row>
    <row r="205" spans="1:10">
      <c r="A205" s="185" t="s">
        <v>686</v>
      </c>
      <c r="B205" s="185" t="s">
        <v>687</v>
      </c>
      <c r="C205" s="186" t="s">
        <v>180</v>
      </c>
      <c r="D205" s="185">
        <v>0</v>
      </c>
      <c r="E205" s="185"/>
      <c r="F205" s="185">
        <v>4150</v>
      </c>
      <c r="G205" s="185" t="s">
        <v>347</v>
      </c>
      <c r="H205" s="187"/>
      <c r="I205" s="188"/>
      <c r="J205" s="189">
        <v>17.933333333333302</v>
      </c>
    </row>
    <row r="206" spans="1:10">
      <c r="A206" s="185" t="s">
        <v>688</v>
      </c>
      <c r="B206" s="185" t="s">
        <v>689</v>
      </c>
      <c r="C206" s="186" t="s">
        <v>180</v>
      </c>
      <c r="D206" s="185">
        <v>0</v>
      </c>
      <c r="E206" s="185"/>
      <c r="F206" s="185">
        <v>4150</v>
      </c>
      <c r="G206" s="185" t="s">
        <v>347</v>
      </c>
      <c r="H206" s="187"/>
      <c r="I206" s="188"/>
      <c r="J206" s="189">
        <v>38.6666666666667</v>
      </c>
    </row>
    <row r="207" spans="1:10">
      <c r="A207" s="185" t="s">
        <v>690</v>
      </c>
      <c r="B207" s="185" t="s">
        <v>691</v>
      </c>
      <c r="C207" s="186" t="s">
        <v>180</v>
      </c>
      <c r="D207" s="185">
        <v>0</v>
      </c>
      <c r="E207" s="185"/>
      <c r="F207" s="185">
        <v>4150</v>
      </c>
      <c r="G207" s="185" t="s">
        <v>347</v>
      </c>
      <c r="H207" s="187"/>
      <c r="I207" s="188"/>
      <c r="J207" s="189">
        <v>19.316666666666698</v>
      </c>
    </row>
    <row r="208" spans="1:10">
      <c r="A208" s="185" t="s">
        <v>692</v>
      </c>
      <c r="B208" s="185" t="s">
        <v>693</v>
      </c>
      <c r="C208" s="186" t="s">
        <v>180</v>
      </c>
      <c r="D208" s="185">
        <v>0</v>
      </c>
      <c r="E208" s="185"/>
      <c r="F208" s="185">
        <v>4150</v>
      </c>
      <c r="G208" s="185" t="s">
        <v>347</v>
      </c>
      <c r="H208" s="187"/>
      <c r="I208" s="188"/>
      <c r="J208" s="189">
        <v>80.716666666666697</v>
      </c>
    </row>
    <row r="209" spans="1:10">
      <c r="A209" s="185" t="s">
        <v>694</v>
      </c>
      <c r="B209" s="185" t="s">
        <v>695</v>
      </c>
      <c r="C209" s="186" t="s">
        <v>180</v>
      </c>
      <c r="D209" s="185">
        <v>0</v>
      </c>
      <c r="E209" s="185"/>
      <c r="F209" s="185">
        <v>4150</v>
      </c>
      <c r="G209" s="185" t="s">
        <v>347</v>
      </c>
      <c r="H209" s="187"/>
      <c r="I209" s="188"/>
      <c r="J209" s="189">
        <v>28.383333333333301</v>
      </c>
    </row>
    <row r="210" spans="1:10">
      <c r="A210" s="185" t="s">
        <v>696</v>
      </c>
      <c r="B210" s="185" t="s">
        <v>697</v>
      </c>
      <c r="C210" s="186" t="s">
        <v>180</v>
      </c>
      <c r="D210" s="185">
        <v>0</v>
      </c>
      <c r="E210" s="185"/>
      <c r="F210" s="185">
        <v>4150</v>
      </c>
      <c r="G210" s="185" t="s">
        <v>347</v>
      </c>
      <c r="H210" s="187"/>
      <c r="I210" s="188"/>
      <c r="J210" s="189">
        <v>18.0833333333333</v>
      </c>
    </row>
    <row r="211" spans="1:10">
      <c r="A211" s="185" t="s">
        <v>698</v>
      </c>
      <c r="B211" s="185" t="s">
        <v>699</v>
      </c>
      <c r="C211" s="186" t="s">
        <v>180</v>
      </c>
      <c r="D211" s="185">
        <v>0</v>
      </c>
      <c r="E211" s="185"/>
      <c r="F211" s="185">
        <v>4150</v>
      </c>
      <c r="G211" s="185" t="s">
        <v>347</v>
      </c>
      <c r="H211" s="187"/>
      <c r="I211" s="188"/>
      <c r="J211" s="189">
        <v>5.8833333333333302</v>
      </c>
    </row>
    <row r="212" spans="1:10">
      <c r="A212" s="185" t="s">
        <v>700</v>
      </c>
      <c r="B212" s="185" t="s">
        <v>701</v>
      </c>
      <c r="C212" s="186" t="s">
        <v>180</v>
      </c>
      <c r="D212" s="185" t="s">
        <v>637</v>
      </c>
      <c r="E212" s="185"/>
      <c r="F212" s="185">
        <v>2150</v>
      </c>
      <c r="G212" s="185" t="s">
        <v>352</v>
      </c>
      <c r="H212" s="187"/>
      <c r="I212" s="188"/>
      <c r="J212" s="189">
        <v>240.61666666666699</v>
      </c>
    </row>
    <row r="213" spans="1:10">
      <c r="A213" s="185" t="s">
        <v>702</v>
      </c>
      <c r="B213" s="185" t="s">
        <v>703</v>
      </c>
      <c r="C213" s="186" t="s">
        <v>180</v>
      </c>
      <c r="D213" s="185">
        <v>0</v>
      </c>
      <c r="E213" s="185"/>
      <c r="F213" s="185">
        <v>4150</v>
      </c>
      <c r="G213" s="185" t="s">
        <v>347</v>
      </c>
      <c r="H213" s="187"/>
      <c r="I213" s="188"/>
      <c r="J213" s="189">
        <v>1.4</v>
      </c>
    </row>
    <row r="214" spans="1:10">
      <c r="A214" s="185" t="s">
        <v>704</v>
      </c>
      <c r="B214" s="185" t="s">
        <v>705</v>
      </c>
      <c r="C214" s="186" t="s">
        <v>180</v>
      </c>
      <c r="D214" s="185">
        <v>0</v>
      </c>
      <c r="E214" s="185"/>
      <c r="F214" s="185">
        <v>4150</v>
      </c>
      <c r="G214" s="185" t="s">
        <v>357</v>
      </c>
      <c r="H214" s="187"/>
      <c r="I214" s="188"/>
      <c r="J214" s="189">
        <v>0.31111111111111101</v>
      </c>
    </row>
    <row r="215" spans="1:10">
      <c r="A215" s="185" t="s">
        <v>706</v>
      </c>
      <c r="B215" s="185" t="s">
        <v>707</v>
      </c>
      <c r="C215" s="186" t="s">
        <v>180</v>
      </c>
      <c r="D215" s="185">
        <v>0</v>
      </c>
      <c r="E215" s="185"/>
      <c r="F215" s="185">
        <v>4150</v>
      </c>
      <c r="G215" s="185" t="s">
        <v>357</v>
      </c>
      <c r="H215" s="187"/>
      <c r="I215" s="188"/>
      <c r="J215" s="189">
        <v>0.28888888888888897</v>
      </c>
    </row>
    <row r="216" spans="1:10">
      <c r="A216" s="185" t="s">
        <v>708</v>
      </c>
      <c r="B216" s="185" t="s">
        <v>709</v>
      </c>
      <c r="C216" s="186" t="s">
        <v>180</v>
      </c>
      <c r="D216" s="185">
        <v>0</v>
      </c>
      <c r="E216" s="185"/>
      <c r="F216" s="185">
        <v>4150</v>
      </c>
      <c r="G216" s="185" t="s">
        <v>357</v>
      </c>
      <c r="H216" s="187"/>
      <c r="I216" s="188"/>
      <c r="J216" s="189">
        <v>0.53333333333333299</v>
      </c>
    </row>
    <row r="217" spans="1:10">
      <c r="A217" s="185" t="s">
        <v>710</v>
      </c>
      <c r="B217" s="185" t="s">
        <v>711</v>
      </c>
      <c r="C217" s="186" t="s">
        <v>180</v>
      </c>
      <c r="D217" s="185">
        <v>0</v>
      </c>
      <c r="E217" s="185"/>
      <c r="F217" s="185">
        <v>4150</v>
      </c>
      <c r="G217" s="185" t="s">
        <v>357</v>
      </c>
      <c r="H217" s="187"/>
      <c r="I217" s="188"/>
      <c r="J217" s="189">
        <v>0.266666666666667</v>
      </c>
    </row>
    <row r="218" spans="1:10">
      <c r="A218" s="185" t="s">
        <v>712</v>
      </c>
      <c r="B218" s="185" t="s">
        <v>713</v>
      </c>
      <c r="C218" s="186" t="s">
        <v>180</v>
      </c>
      <c r="D218" s="185">
        <v>0</v>
      </c>
      <c r="E218" s="185"/>
      <c r="F218" s="185">
        <v>4150</v>
      </c>
      <c r="G218" s="185" t="s">
        <v>357</v>
      </c>
      <c r="H218" s="187"/>
      <c r="I218" s="188"/>
      <c r="J218" s="189">
        <v>0.24444444444444399</v>
      </c>
    </row>
    <row r="219" spans="1:10">
      <c r="A219" s="185" t="s">
        <v>714</v>
      </c>
      <c r="B219" s="185" t="s">
        <v>715</v>
      </c>
      <c r="C219" s="186" t="s">
        <v>180</v>
      </c>
      <c r="D219" s="185">
        <v>0</v>
      </c>
      <c r="E219" s="185"/>
      <c r="F219" s="185">
        <v>4150</v>
      </c>
      <c r="G219" s="185" t="s">
        <v>357</v>
      </c>
      <c r="H219" s="187"/>
      <c r="I219" s="188"/>
      <c r="J219" s="189">
        <v>0.53333333333333299</v>
      </c>
    </row>
    <row r="220" spans="1:10">
      <c r="A220" s="185" t="s">
        <v>716</v>
      </c>
      <c r="B220" s="185" t="s">
        <v>717</v>
      </c>
      <c r="C220" s="186" t="s">
        <v>180</v>
      </c>
      <c r="D220" s="185">
        <v>0</v>
      </c>
      <c r="E220" s="185"/>
      <c r="F220" s="185">
        <v>4150</v>
      </c>
      <c r="G220" s="185" t="s">
        <v>357</v>
      </c>
      <c r="H220" s="187"/>
      <c r="I220" s="188"/>
      <c r="J220" s="189">
        <v>1.17777777777778</v>
      </c>
    </row>
    <row r="221" spans="1:10">
      <c r="A221" s="185" t="s">
        <v>718</v>
      </c>
      <c r="B221" s="185" t="s">
        <v>719</v>
      </c>
      <c r="C221" s="186" t="s">
        <v>180</v>
      </c>
      <c r="D221" s="185">
        <v>0</v>
      </c>
      <c r="E221" s="185"/>
      <c r="F221" s="185">
        <v>4150</v>
      </c>
      <c r="G221" s="185" t="s">
        <v>357</v>
      </c>
      <c r="H221" s="187"/>
      <c r="I221" s="188"/>
      <c r="J221" s="189">
        <v>0.66666666666666696</v>
      </c>
    </row>
    <row r="222" spans="1:10">
      <c r="A222" s="185" t="s">
        <v>720</v>
      </c>
      <c r="B222" s="185" t="s">
        <v>721</v>
      </c>
      <c r="C222" s="186" t="s">
        <v>180</v>
      </c>
      <c r="D222" s="185" t="s">
        <v>360</v>
      </c>
      <c r="E222" s="185"/>
      <c r="F222" s="185">
        <v>2150</v>
      </c>
      <c r="G222" s="185" t="s">
        <v>352</v>
      </c>
      <c r="H222" s="187"/>
      <c r="I222" s="188"/>
      <c r="J222" s="189">
        <v>16.75</v>
      </c>
    </row>
    <row r="223" spans="1:10">
      <c r="A223" s="185" t="s">
        <v>722</v>
      </c>
      <c r="B223" s="185" t="s">
        <v>723</v>
      </c>
      <c r="C223" s="186" t="s">
        <v>180</v>
      </c>
      <c r="D223" s="185">
        <v>0</v>
      </c>
      <c r="E223" s="185"/>
      <c r="F223" s="185">
        <v>2150</v>
      </c>
      <c r="G223" s="185" t="s">
        <v>352</v>
      </c>
      <c r="H223" s="187"/>
      <c r="I223" s="188"/>
      <c r="J223" s="189">
        <v>5.4</v>
      </c>
    </row>
    <row r="224" spans="1:10">
      <c r="A224" s="185" t="s">
        <v>724</v>
      </c>
      <c r="B224" s="185" t="s">
        <v>725</v>
      </c>
      <c r="C224" s="186" t="s">
        <v>180</v>
      </c>
      <c r="D224" s="185" t="s">
        <v>360</v>
      </c>
      <c r="E224" s="185"/>
      <c r="F224" s="185">
        <v>2150</v>
      </c>
      <c r="G224" s="185" t="s">
        <v>352</v>
      </c>
      <c r="H224" s="187"/>
      <c r="I224" s="188"/>
      <c r="J224" s="189">
        <v>8.93333333333333</v>
      </c>
    </row>
    <row r="225" spans="1:10">
      <c r="A225" s="185" t="s">
        <v>726</v>
      </c>
      <c r="B225" s="185" t="s">
        <v>727</v>
      </c>
      <c r="C225" s="186" t="s">
        <v>180</v>
      </c>
      <c r="D225" s="185" t="s">
        <v>360</v>
      </c>
      <c r="E225" s="185"/>
      <c r="F225" s="185">
        <v>2150</v>
      </c>
      <c r="G225" s="185" t="s">
        <v>352</v>
      </c>
      <c r="H225" s="187"/>
      <c r="I225" s="188"/>
      <c r="J225" s="189">
        <v>32.6</v>
      </c>
    </row>
    <row r="226" spans="1:10">
      <c r="A226" s="185" t="s">
        <v>728</v>
      </c>
      <c r="B226" s="185" t="s">
        <v>729</v>
      </c>
      <c r="C226" s="186" t="s">
        <v>180</v>
      </c>
      <c r="D226" s="185">
        <v>0</v>
      </c>
      <c r="E226" s="185"/>
      <c r="F226" s="185">
        <v>2150</v>
      </c>
      <c r="G226" s="185" t="s">
        <v>352</v>
      </c>
      <c r="H226" s="187"/>
      <c r="I226" s="188"/>
      <c r="J226" s="189">
        <v>8.5</v>
      </c>
    </row>
    <row r="227" spans="1:10">
      <c r="A227" s="185" t="s">
        <v>730</v>
      </c>
      <c r="B227" s="185" t="s">
        <v>731</v>
      </c>
      <c r="C227" s="186" t="s">
        <v>180</v>
      </c>
      <c r="D227" s="185">
        <v>0</v>
      </c>
      <c r="E227" s="185"/>
      <c r="F227" s="185">
        <v>2150</v>
      </c>
      <c r="G227" s="185" t="s">
        <v>352</v>
      </c>
      <c r="H227" s="187"/>
      <c r="I227" s="188"/>
      <c r="J227" s="189">
        <v>25.1666666666667</v>
      </c>
    </row>
    <row r="228" spans="1:10">
      <c r="A228" s="185" t="s">
        <v>732</v>
      </c>
      <c r="B228" s="185" t="s">
        <v>733</v>
      </c>
      <c r="C228" s="186" t="s">
        <v>180</v>
      </c>
      <c r="D228" s="185">
        <v>0</v>
      </c>
      <c r="E228" s="185"/>
      <c r="F228" s="185">
        <v>4150</v>
      </c>
      <c r="G228" s="185" t="s">
        <v>357</v>
      </c>
      <c r="H228" s="187"/>
      <c r="I228" s="188"/>
      <c r="J228" s="189">
        <v>0.13755555555555599</v>
      </c>
    </row>
    <row r="229" spans="1:10">
      <c r="A229" s="185" t="s">
        <v>734</v>
      </c>
      <c r="B229" s="185" t="s">
        <v>735</v>
      </c>
      <c r="C229" s="186" t="s">
        <v>180</v>
      </c>
      <c r="D229" s="185">
        <v>0</v>
      </c>
      <c r="E229" s="185"/>
      <c r="F229" s="185">
        <v>4150</v>
      </c>
      <c r="G229" s="185" t="s">
        <v>357</v>
      </c>
      <c r="H229" s="187"/>
      <c r="I229" s="188"/>
      <c r="J229" s="189">
        <v>0.53333333333333299</v>
      </c>
    </row>
    <row r="230" spans="1:10">
      <c r="A230" s="185" t="s">
        <v>736</v>
      </c>
      <c r="B230" s="185" t="s">
        <v>737</v>
      </c>
      <c r="C230" s="186" t="s">
        <v>180</v>
      </c>
      <c r="D230" s="185">
        <v>0</v>
      </c>
      <c r="E230" s="185"/>
      <c r="F230" s="185">
        <v>4150</v>
      </c>
      <c r="G230" s="185" t="s">
        <v>347</v>
      </c>
      <c r="H230" s="187"/>
      <c r="I230" s="188"/>
      <c r="J230" s="189">
        <v>22.533333333333299</v>
      </c>
    </row>
    <row r="231" spans="1:10">
      <c r="A231" s="185" t="s">
        <v>738</v>
      </c>
      <c r="B231" s="185" t="s">
        <v>739</v>
      </c>
      <c r="C231" s="186" t="s">
        <v>180</v>
      </c>
      <c r="D231" s="185">
        <v>0</v>
      </c>
      <c r="E231" s="185"/>
      <c r="F231" s="185">
        <v>4150</v>
      </c>
      <c r="G231" s="185" t="s">
        <v>347</v>
      </c>
      <c r="H231" s="187"/>
      <c r="I231" s="188"/>
      <c r="J231" s="189">
        <v>2.9166666666666701</v>
      </c>
    </row>
    <row r="232" spans="1:10">
      <c r="A232" s="185" t="s">
        <v>740</v>
      </c>
      <c r="B232" s="185" t="s">
        <v>741</v>
      </c>
      <c r="C232" s="186" t="s">
        <v>180</v>
      </c>
      <c r="D232" s="185">
        <v>0</v>
      </c>
      <c r="E232" s="185"/>
      <c r="F232" s="185">
        <v>4150</v>
      </c>
      <c r="G232" s="185" t="s">
        <v>347</v>
      </c>
      <c r="H232" s="187"/>
      <c r="I232" s="188"/>
      <c r="J232" s="189">
        <v>0.45</v>
      </c>
    </row>
    <row r="233" spans="1:10">
      <c r="A233" s="185" t="s">
        <v>742</v>
      </c>
      <c r="B233" s="185" t="s">
        <v>743</v>
      </c>
      <c r="C233" s="186" t="s">
        <v>180</v>
      </c>
      <c r="D233" s="185">
        <v>0</v>
      </c>
      <c r="E233" s="185"/>
      <c r="F233" s="185">
        <v>4150</v>
      </c>
      <c r="G233" s="185" t="s">
        <v>347</v>
      </c>
      <c r="H233" s="187"/>
      <c r="I233" s="188"/>
      <c r="J233" s="189">
        <v>0.36666666666666697</v>
      </c>
    </row>
    <row r="234" spans="1:10">
      <c r="A234" s="185" t="s">
        <v>744</v>
      </c>
      <c r="B234" s="185" t="s">
        <v>745</v>
      </c>
      <c r="C234" s="186" t="s">
        <v>180</v>
      </c>
      <c r="D234" s="185">
        <v>0</v>
      </c>
      <c r="E234" s="185"/>
      <c r="F234" s="185">
        <v>4150</v>
      </c>
      <c r="G234" s="185" t="s">
        <v>347</v>
      </c>
      <c r="H234" s="187"/>
      <c r="I234" s="188"/>
      <c r="J234" s="189">
        <v>0.43333333333333302</v>
      </c>
    </row>
    <row r="235" spans="1:10">
      <c r="A235" s="185" t="s">
        <v>746</v>
      </c>
      <c r="B235" s="185" t="s">
        <v>747</v>
      </c>
      <c r="C235" s="186" t="s">
        <v>180</v>
      </c>
      <c r="D235" s="185">
        <v>0</v>
      </c>
      <c r="E235" s="185"/>
      <c r="F235" s="185">
        <v>4150</v>
      </c>
      <c r="G235" s="185" t="s">
        <v>347</v>
      </c>
      <c r="H235" s="187"/>
      <c r="I235" s="188"/>
      <c r="J235" s="189">
        <v>1.13333333333333</v>
      </c>
    </row>
    <row r="236" spans="1:10">
      <c r="A236" s="185" t="s">
        <v>748</v>
      </c>
      <c r="B236" s="185" t="s">
        <v>749</v>
      </c>
      <c r="C236" s="186" t="s">
        <v>180</v>
      </c>
      <c r="D236" s="185">
        <v>0</v>
      </c>
      <c r="E236" s="185"/>
      <c r="F236" s="185">
        <v>4150</v>
      </c>
      <c r="G236" s="185" t="s">
        <v>347</v>
      </c>
      <c r="H236" s="187"/>
      <c r="I236" s="188"/>
      <c r="J236" s="189">
        <v>1.85</v>
      </c>
    </row>
    <row r="237" spans="1:10">
      <c r="A237" s="185" t="s">
        <v>750</v>
      </c>
      <c r="B237" s="185" t="s">
        <v>751</v>
      </c>
      <c r="C237" s="186" t="s">
        <v>180</v>
      </c>
      <c r="D237" s="185">
        <v>0</v>
      </c>
      <c r="E237" s="185"/>
      <c r="F237" s="185">
        <v>4150</v>
      </c>
      <c r="G237" s="185" t="s">
        <v>347</v>
      </c>
      <c r="H237" s="187"/>
      <c r="I237" s="188"/>
      <c r="J237" s="189">
        <v>1.5</v>
      </c>
    </row>
    <row r="238" spans="1:10">
      <c r="A238" s="185" t="s">
        <v>752</v>
      </c>
      <c r="B238" s="185" t="s">
        <v>753</v>
      </c>
      <c r="C238" s="186" t="s">
        <v>180</v>
      </c>
      <c r="D238" s="185">
        <v>0</v>
      </c>
      <c r="E238" s="185"/>
      <c r="F238" s="185">
        <v>4150</v>
      </c>
      <c r="G238" s="185" t="s">
        <v>347</v>
      </c>
      <c r="H238" s="187"/>
      <c r="I238" s="188"/>
      <c r="J238" s="189">
        <v>0.13666666666666699</v>
      </c>
    </row>
    <row r="239" spans="1:10">
      <c r="A239" s="185" t="s">
        <v>754</v>
      </c>
      <c r="B239" s="185" t="s">
        <v>755</v>
      </c>
      <c r="C239" s="186" t="s">
        <v>180</v>
      </c>
      <c r="D239" s="185">
        <v>0</v>
      </c>
      <c r="E239" s="185"/>
      <c r="F239" s="185">
        <v>4150</v>
      </c>
      <c r="G239" s="185" t="s">
        <v>347</v>
      </c>
      <c r="H239" s="187"/>
      <c r="I239" s="188"/>
      <c r="J239" s="189">
        <v>1.11666666666667</v>
      </c>
    </row>
    <row r="240" spans="1:10">
      <c r="A240" s="185" t="s">
        <v>756</v>
      </c>
      <c r="B240" s="185" t="s">
        <v>757</v>
      </c>
      <c r="C240" s="186" t="s">
        <v>180</v>
      </c>
      <c r="D240" s="185">
        <v>0</v>
      </c>
      <c r="E240" s="185"/>
      <c r="F240" s="185">
        <v>4150</v>
      </c>
      <c r="G240" s="185" t="s">
        <v>347</v>
      </c>
      <c r="H240" s="187"/>
      <c r="I240" s="188"/>
      <c r="J240" s="189">
        <v>0.75</v>
      </c>
    </row>
    <row r="241" spans="1:10">
      <c r="A241" s="185" t="s">
        <v>758</v>
      </c>
      <c r="B241" s="185" t="s">
        <v>759</v>
      </c>
      <c r="C241" s="186" t="s">
        <v>180</v>
      </c>
      <c r="D241" s="185">
        <v>0</v>
      </c>
      <c r="E241" s="185"/>
      <c r="F241" s="185">
        <v>4150</v>
      </c>
      <c r="G241" s="185" t="s">
        <v>347</v>
      </c>
      <c r="H241" s="187"/>
      <c r="I241" s="188"/>
      <c r="J241" s="189">
        <v>1.4666666666666699</v>
      </c>
    </row>
    <row r="242" spans="1:10">
      <c r="A242" s="185" t="s">
        <v>760</v>
      </c>
      <c r="B242" s="185" t="s">
        <v>761</v>
      </c>
      <c r="C242" s="186" t="s">
        <v>180</v>
      </c>
      <c r="D242" s="185">
        <v>0</v>
      </c>
      <c r="E242" s="185"/>
      <c r="F242" s="185">
        <v>4150</v>
      </c>
      <c r="G242" s="185" t="s">
        <v>347</v>
      </c>
      <c r="H242" s="187"/>
      <c r="I242" s="188"/>
      <c r="J242" s="189">
        <v>1.1666666666666701</v>
      </c>
    </row>
    <row r="243" spans="1:10">
      <c r="A243" s="185" t="s">
        <v>762</v>
      </c>
      <c r="B243" s="185" t="s">
        <v>577</v>
      </c>
      <c r="C243" s="186" t="s">
        <v>180</v>
      </c>
      <c r="D243" s="185">
        <v>0</v>
      </c>
      <c r="E243" s="185"/>
      <c r="F243" s="185">
        <v>2150</v>
      </c>
      <c r="G243" s="185" t="s">
        <v>567</v>
      </c>
      <c r="H243" s="187"/>
      <c r="I243" s="188"/>
      <c r="J243" s="189">
        <v>13.7</v>
      </c>
    </row>
    <row r="244" spans="1:10">
      <c r="A244" s="185" t="s">
        <v>763</v>
      </c>
      <c r="B244" s="185" t="s">
        <v>764</v>
      </c>
      <c r="C244" s="186" t="s">
        <v>180</v>
      </c>
      <c r="D244" s="185">
        <v>0</v>
      </c>
      <c r="E244" s="185"/>
      <c r="F244" s="185">
        <v>2150</v>
      </c>
      <c r="G244" s="185" t="s">
        <v>567</v>
      </c>
      <c r="H244" s="187"/>
      <c r="I244" s="188"/>
      <c r="J244" s="189">
        <v>2.2000000000000002</v>
      </c>
    </row>
    <row r="245" spans="1:10">
      <c r="A245" s="185" t="s">
        <v>765</v>
      </c>
      <c r="B245" s="185" t="s">
        <v>766</v>
      </c>
      <c r="C245" s="186" t="s">
        <v>180</v>
      </c>
      <c r="D245" s="185" t="s">
        <v>360</v>
      </c>
      <c r="E245" s="185"/>
      <c r="F245" s="185">
        <v>2150</v>
      </c>
      <c r="G245" s="185" t="s">
        <v>352</v>
      </c>
      <c r="H245" s="187"/>
      <c r="I245" s="188"/>
      <c r="J245" s="189">
        <v>2.43333333333333</v>
      </c>
    </row>
    <row r="246" spans="1:10">
      <c r="A246" s="185" t="s">
        <v>767</v>
      </c>
      <c r="B246" s="185" t="s">
        <v>768</v>
      </c>
      <c r="C246" s="186" t="s">
        <v>180</v>
      </c>
      <c r="D246" s="185">
        <v>0</v>
      </c>
      <c r="E246" s="185"/>
      <c r="F246" s="185">
        <v>4150</v>
      </c>
      <c r="G246" s="185" t="s">
        <v>357</v>
      </c>
      <c r="H246" s="187"/>
      <c r="I246" s="188"/>
      <c r="J246" s="189">
        <v>0.64444444444444404</v>
      </c>
    </row>
    <row r="247" spans="1:10">
      <c r="A247" s="185" t="s">
        <v>769</v>
      </c>
      <c r="B247" s="185" t="s">
        <v>770</v>
      </c>
      <c r="C247" s="186" t="s">
        <v>180</v>
      </c>
      <c r="D247" s="185">
        <v>0</v>
      </c>
      <c r="E247" s="185"/>
      <c r="F247" s="185">
        <v>4150</v>
      </c>
      <c r="G247" s="185" t="s">
        <v>374</v>
      </c>
      <c r="H247" s="187"/>
      <c r="I247" s="188"/>
      <c r="J247" s="189">
        <v>47.071428571428598</v>
      </c>
    </row>
    <row r="248" spans="1:10">
      <c r="A248" s="185" t="s">
        <v>771</v>
      </c>
      <c r="B248" s="185" t="s">
        <v>772</v>
      </c>
      <c r="C248" s="186" t="s">
        <v>180</v>
      </c>
      <c r="D248" s="185">
        <v>0</v>
      </c>
      <c r="E248" s="185"/>
      <c r="F248" s="185">
        <v>4150</v>
      </c>
      <c r="G248" s="185" t="s">
        <v>374</v>
      </c>
      <c r="H248" s="187"/>
      <c r="I248" s="188"/>
      <c r="J248" s="189">
        <v>24.6428571428571</v>
      </c>
    </row>
    <row r="249" spans="1:10">
      <c r="A249" s="185" t="s">
        <v>773</v>
      </c>
      <c r="B249" s="185" t="s">
        <v>774</v>
      </c>
      <c r="C249" s="186" t="s">
        <v>176</v>
      </c>
      <c r="D249" s="185">
        <v>0</v>
      </c>
      <c r="E249" s="185"/>
      <c r="F249" s="185">
        <v>2150</v>
      </c>
      <c r="G249" s="185" t="s">
        <v>374</v>
      </c>
      <c r="H249" s="187"/>
      <c r="I249" s="188"/>
      <c r="J249" s="189">
        <v>0.3</v>
      </c>
    </row>
    <row r="250" spans="1:10">
      <c r="A250" s="185" t="s">
        <v>775</v>
      </c>
      <c r="B250" s="185" t="s">
        <v>776</v>
      </c>
      <c r="C250" s="186" t="s">
        <v>180</v>
      </c>
      <c r="D250" s="185">
        <v>0</v>
      </c>
      <c r="E250" s="185"/>
      <c r="F250" s="185">
        <v>4150</v>
      </c>
      <c r="G250" s="185" t="s">
        <v>347</v>
      </c>
      <c r="H250" s="187"/>
      <c r="I250" s="188"/>
      <c r="J250" s="189">
        <v>2.5</v>
      </c>
    </row>
    <row r="251" spans="1:10">
      <c r="A251" s="185" t="s">
        <v>777</v>
      </c>
      <c r="B251" s="185" t="s">
        <v>778</v>
      </c>
      <c r="C251" s="186" t="s">
        <v>180</v>
      </c>
      <c r="D251" s="185">
        <v>0</v>
      </c>
      <c r="E251" s="185"/>
      <c r="F251" s="185">
        <v>4150</v>
      </c>
      <c r="G251" s="185" t="s">
        <v>347</v>
      </c>
      <c r="H251" s="187"/>
      <c r="I251" s="188"/>
      <c r="J251" s="189">
        <v>3.6166666666666698</v>
      </c>
    </row>
    <row r="252" spans="1:10">
      <c r="A252" s="185" t="s">
        <v>779</v>
      </c>
      <c r="B252" s="185" t="s">
        <v>517</v>
      </c>
      <c r="C252" s="186" t="s">
        <v>180</v>
      </c>
      <c r="D252" s="185">
        <v>0</v>
      </c>
      <c r="E252" s="185"/>
      <c r="F252" s="185">
        <v>4150</v>
      </c>
      <c r="G252" s="185" t="s">
        <v>347</v>
      </c>
      <c r="H252" s="187"/>
      <c r="I252" s="188"/>
      <c r="J252" s="189">
        <v>0.483333333333333</v>
      </c>
    </row>
    <row r="253" spans="1:10">
      <c r="A253" s="185" t="s">
        <v>780</v>
      </c>
      <c r="B253" s="185" t="s">
        <v>781</v>
      </c>
      <c r="C253" s="186" t="s">
        <v>180</v>
      </c>
      <c r="D253" s="185">
        <v>0</v>
      </c>
      <c r="E253" s="185"/>
      <c r="F253" s="185">
        <v>4150</v>
      </c>
      <c r="G253" s="185" t="s">
        <v>347</v>
      </c>
      <c r="H253" s="187"/>
      <c r="I253" s="188"/>
      <c r="J253" s="189">
        <v>2.5</v>
      </c>
    </row>
    <row r="254" spans="1:10">
      <c r="A254" s="185" t="s">
        <v>782</v>
      </c>
      <c r="B254" s="185" t="s">
        <v>733</v>
      </c>
      <c r="C254" s="186" t="s">
        <v>180</v>
      </c>
      <c r="D254" s="185">
        <v>0</v>
      </c>
      <c r="E254" s="185"/>
      <c r="F254" s="185">
        <v>4150</v>
      </c>
      <c r="G254" s="185" t="s">
        <v>347</v>
      </c>
      <c r="H254" s="187"/>
      <c r="I254" s="188"/>
      <c r="J254" s="189">
        <v>0</v>
      </c>
    </row>
    <row r="255" spans="1:10">
      <c r="A255" s="185" t="s">
        <v>783</v>
      </c>
      <c r="B255" s="185" t="s">
        <v>784</v>
      </c>
      <c r="C255" s="186" t="s">
        <v>180</v>
      </c>
      <c r="D255" s="185">
        <v>0</v>
      </c>
      <c r="E255" s="185"/>
      <c r="F255" s="185">
        <v>4150</v>
      </c>
      <c r="G255" s="185" t="s">
        <v>347</v>
      </c>
      <c r="H255" s="187"/>
      <c r="I255" s="188"/>
      <c r="J255" s="189">
        <v>7.56666666666667</v>
      </c>
    </row>
    <row r="256" spans="1:10">
      <c r="A256" s="185" t="s">
        <v>785</v>
      </c>
      <c r="B256" s="185" t="s">
        <v>786</v>
      </c>
      <c r="C256" s="186" t="s">
        <v>180</v>
      </c>
      <c r="D256" s="185">
        <v>0</v>
      </c>
      <c r="E256" s="185"/>
      <c r="F256" s="185">
        <v>4150</v>
      </c>
      <c r="G256" s="185" t="s">
        <v>347</v>
      </c>
      <c r="H256" s="187"/>
      <c r="I256" s="188"/>
      <c r="J256" s="189">
        <v>7.6166666666666698</v>
      </c>
    </row>
    <row r="257" spans="1:10">
      <c r="A257" s="185" t="s">
        <v>787</v>
      </c>
      <c r="B257" s="185" t="s">
        <v>788</v>
      </c>
      <c r="C257" s="186" t="s">
        <v>180</v>
      </c>
      <c r="D257" s="185">
        <v>0</v>
      </c>
      <c r="E257" s="185"/>
      <c r="F257" s="185">
        <v>4150</v>
      </c>
      <c r="G257" s="185" t="s">
        <v>347</v>
      </c>
      <c r="H257" s="187"/>
      <c r="I257" s="188"/>
      <c r="J257" s="189">
        <v>8.43333333333333</v>
      </c>
    </row>
    <row r="258" spans="1:10">
      <c r="A258" s="185" t="s">
        <v>789</v>
      </c>
      <c r="B258" s="185" t="s">
        <v>790</v>
      </c>
      <c r="C258" s="186" t="s">
        <v>180</v>
      </c>
      <c r="D258" s="185">
        <v>0</v>
      </c>
      <c r="E258" s="185"/>
      <c r="F258" s="185">
        <v>4150</v>
      </c>
      <c r="G258" s="185" t="s">
        <v>347</v>
      </c>
      <c r="H258" s="187"/>
      <c r="I258" s="188"/>
      <c r="J258" s="189">
        <v>7.5333333333333297</v>
      </c>
    </row>
    <row r="259" spans="1:10">
      <c r="A259" s="185" t="s">
        <v>791</v>
      </c>
      <c r="B259" s="185" t="s">
        <v>792</v>
      </c>
      <c r="C259" s="186" t="s">
        <v>180</v>
      </c>
      <c r="D259" s="185">
        <v>0</v>
      </c>
      <c r="E259" s="185"/>
      <c r="F259" s="185">
        <v>4150</v>
      </c>
      <c r="G259" s="185" t="s">
        <v>347</v>
      </c>
      <c r="H259" s="187"/>
      <c r="I259" s="188"/>
      <c r="J259" s="189">
        <v>5.3666666666666698</v>
      </c>
    </row>
    <row r="260" spans="1:10">
      <c r="A260" s="185" t="s">
        <v>793</v>
      </c>
      <c r="B260" s="185" t="s">
        <v>794</v>
      </c>
      <c r="C260" s="186" t="s">
        <v>180</v>
      </c>
      <c r="D260" s="185" t="s">
        <v>360</v>
      </c>
      <c r="E260" s="185"/>
      <c r="F260" s="185">
        <v>2150</v>
      </c>
      <c r="G260" s="185" t="s">
        <v>352</v>
      </c>
      <c r="H260" s="187"/>
      <c r="I260" s="188"/>
      <c r="J260" s="189">
        <v>89.8</v>
      </c>
    </row>
    <row r="261" spans="1:10">
      <c r="A261" s="185" t="s">
        <v>795</v>
      </c>
      <c r="B261" s="185" t="s">
        <v>796</v>
      </c>
      <c r="C261" s="186" t="s">
        <v>180</v>
      </c>
      <c r="D261" s="185">
        <v>0</v>
      </c>
      <c r="E261" s="185"/>
      <c r="F261" s="185">
        <v>2150</v>
      </c>
      <c r="G261" s="185" t="s">
        <v>352</v>
      </c>
      <c r="H261" s="187"/>
      <c r="I261" s="188"/>
      <c r="J261" s="189">
        <v>7.5</v>
      </c>
    </row>
    <row r="262" spans="1:10">
      <c r="A262" s="185" t="s">
        <v>797</v>
      </c>
      <c r="B262" s="185" t="s">
        <v>798</v>
      </c>
      <c r="C262" s="186" t="s">
        <v>180</v>
      </c>
      <c r="D262" s="185">
        <v>0</v>
      </c>
      <c r="E262" s="185"/>
      <c r="F262" s="185">
        <v>2150</v>
      </c>
      <c r="G262" s="185" t="s">
        <v>352</v>
      </c>
      <c r="H262" s="187"/>
      <c r="I262" s="188"/>
      <c r="J262" s="189">
        <v>30</v>
      </c>
    </row>
    <row r="263" spans="1:10">
      <c r="A263" s="185" t="s">
        <v>799</v>
      </c>
      <c r="B263" s="185" t="s">
        <v>800</v>
      </c>
      <c r="C263" s="186" t="s">
        <v>180</v>
      </c>
      <c r="D263" s="185">
        <v>0</v>
      </c>
      <c r="E263" s="185"/>
      <c r="F263" s="185">
        <v>2150</v>
      </c>
      <c r="G263" s="185" t="s">
        <v>352</v>
      </c>
      <c r="H263" s="187"/>
      <c r="I263" s="188"/>
      <c r="J263" s="189">
        <v>8.0333333333333297</v>
      </c>
    </row>
    <row r="264" spans="1:10">
      <c r="A264" s="185" t="s">
        <v>801</v>
      </c>
      <c r="B264" s="185" t="s">
        <v>802</v>
      </c>
      <c r="C264" s="186" t="s">
        <v>180</v>
      </c>
      <c r="D264" s="185">
        <v>0</v>
      </c>
      <c r="E264" s="185"/>
      <c r="F264" s="185">
        <v>2150</v>
      </c>
      <c r="G264" s="185" t="s">
        <v>352</v>
      </c>
      <c r="H264" s="187"/>
      <c r="I264" s="188"/>
      <c r="J264" s="189">
        <v>6.4166666666666696</v>
      </c>
    </row>
    <row r="265" spans="1:10">
      <c r="A265" s="185" t="s">
        <v>803</v>
      </c>
      <c r="B265" s="185" t="s">
        <v>804</v>
      </c>
      <c r="C265" s="186" t="s">
        <v>180</v>
      </c>
      <c r="D265" s="185">
        <v>0</v>
      </c>
      <c r="E265" s="185"/>
      <c r="F265" s="185">
        <v>2150</v>
      </c>
      <c r="G265" s="185" t="s">
        <v>352</v>
      </c>
      <c r="H265" s="187"/>
      <c r="I265" s="188"/>
      <c r="J265" s="189">
        <v>7</v>
      </c>
    </row>
    <row r="266" spans="1:10">
      <c r="A266" s="185" t="s">
        <v>805</v>
      </c>
      <c r="B266" s="185" t="s">
        <v>806</v>
      </c>
      <c r="C266" s="186" t="s">
        <v>180</v>
      </c>
      <c r="D266" s="185">
        <v>0</v>
      </c>
      <c r="E266" s="185"/>
      <c r="F266" s="185">
        <v>2150</v>
      </c>
      <c r="G266" s="185" t="s">
        <v>352</v>
      </c>
      <c r="H266" s="187"/>
      <c r="I266" s="188"/>
      <c r="J266" s="189">
        <v>3.4833333333333298</v>
      </c>
    </row>
    <row r="267" spans="1:10">
      <c r="A267" s="185" t="s">
        <v>807</v>
      </c>
      <c r="B267" s="185" t="s">
        <v>808</v>
      </c>
      <c r="C267" s="186" t="s">
        <v>180</v>
      </c>
      <c r="D267" s="185">
        <v>0</v>
      </c>
      <c r="E267" s="185"/>
      <c r="F267" s="185">
        <v>4150</v>
      </c>
      <c r="G267" s="185" t="s">
        <v>347</v>
      </c>
      <c r="H267" s="187"/>
      <c r="I267" s="188"/>
      <c r="J267" s="189">
        <v>1.1499999999999999</v>
      </c>
    </row>
    <row r="268" spans="1:10">
      <c r="A268" s="185" t="s">
        <v>809</v>
      </c>
      <c r="B268" s="185" t="s">
        <v>517</v>
      </c>
      <c r="C268" s="186" t="s">
        <v>180</v>
      </c>
      <c r="D268" s="185">
        <v>0</v>
      </c>
      <c r="E268" s="185"/>
      <c r="F268" s="185">
        <v>4150</v>
      </c>
      <c r="G268" s="185" t="s">
        <v>347</v>
      </c>
      <c r="H268" s="187"/>
      <c r="I268" s="188"/>
      <c r="J268" s="189">
        <v>1.36666666666667</v>
      </c>
    </row>
    <row r="269" spans="1:10">
      <c r="A269" s="185" t="s">
        <v>810</v>
      </c>
      <c r="B269" s="185" t="s">
        <v>811</v>
      </c>
      <c r="C269" s="186" t="s">
        <v>180</v>
      </c>
      <c r="D269" s="185">
        <v>0</v>
      </c>
      <c r="E269" s="185"/>
      <c r="F269" s="185">
        <v>4150</v>
      </c>
      <c r="G269" s="185" t="s">
        <v>419</v>
      </c>
      <c r="H269" s="187"/>
      <c r="I269" s="188"/>
      <c r="J269" s="189">
        <v>0</v>
      </c>
    </row>
    <row r="270" spans="1:10">
      <c r="A270" s="185" t="s">
        <v>812</v>
      </c>
      <c r="B270" s="185" t="s">
        <v>811</v>
      </c>
      <c r="C270" s="186" t="s">
        <v>180</v>
      </c>
      <c r="D270" s="185">
        <v>0</v>
      </c>
      <c r="E270" s="185"/>
      <c r="F270" s="185">
        <v>4150</v>
      </c>
      <c r="G270" s="185" t="s">
        <v>419</v>
      </c>
      <c r="H270" s="187"/>
      <c r="I270" s="188"/>
      <c r="J270" s="189">
        <v>0</v>
      </c>
    </row>
    <row r="271" spans="1:10">
      <c r="A271" s="185" t="s">
        <v>813</v>
      </c>
      <c r="B271" s="185" t="s">
        <v>814</v>
      </c>
      <c r="C271" s="186" t="s">
        <v>180</v>
      </c>
      <c r="D271" s="185">
        <v>0</v>
      </c>
      <c r="E271" s="185"/>
      <c r="F271" s="185">
        <v>2150</v>
      </c>
      <c r="G271" s="185" t="s">
        <v>352</v>
      </c>
      <c r="H271" s="187"/>
      <c r="I271" s="188"/>
      <c r="J271" s="189">
        <v>10.1833333333333</v>
      </c>
    </row>
    <row r="272" spans="1:10">
      <c r="A272" s="185" t="s">
        <v>815</v>
      </c>
      <c r="B272" s="185" t="s">
        <v>816</v>
      </c>
      <c r="C272" s="186" t="s">
        <v>180</v>
      </c>
      <c r="D272" s="185">
        <v>0</v>
      </c>
      <c r="E272" s="185"/>
      <c r="F272" s="185">
        <v>2150</v>
      </c>
      <c r="G272" s="185" t="s">
        <v>352</v>
      </c>
      <c r="H272" s="187"/>
      <c r="I272" s="188"/>
      <c r="J272" s="189">
        <v>5.1666666666666696</v>
      </c>
    </row>
    <row r="273" spans="1:10">
      <c r="A273" s="185" t="s">
        <v>817</v>
      </c>
      <c r="B273" s="185" t="s">
        <v>818</v>
      </c>
      <c r="C273" s="186" t="s">
        <v>180</v>
      </c>
      <c r="D273" s="185">
        <v>0</v>
      </c>
      <c r="E273" s="185"/>
      <c r="F273" s="185">
        <v>4150</v>
      </c>
      <c r="G273" s="185" t="s">
        <v>347</v>
      </c>
      <c r="H273" s="187"/>
      <c r="I273" s="188"/>
      <c r="J273" s="189">
        <v>0.36666666666666697</v>
      </c>
    </row>
    <row r="274" spans="1:10">
      <c r="A274" s="185" t="s">
        <v>819</v>
      </c>
      <c r="B274" s="185" t="s">
        <v>356</v>
      </c>
      <c r="C274" s="186" t="s">
        <v>180</v>
      </c>
      <c r="D274" s="185">
        <v>0</v>
      </c>
      <c r="E274" s="185"/>
      <c r="F274" s="185">
        <v>4150</v>
      </c>
      <c r="G274" s="185" t="s">
        <v>357</v>
      </c>
      <c r="H274" s="187"/>
      <c r="I274" s="188"/>
      <c r="J274" s="189">
        <v>140.86666666666699</v>
      </c>
    </row>
    <row r="275" spans="1:10">
      <c r="A275" s="185" t="s">
        <v>820</v>
      </c>
      <c r="B275" s="185" t="s">
        <v>821</v>
      </c>
      <c r="C275" s="186" t="s">
        <v>180</v>
      </c>
      <c r="D275" s="185" t="s">
        <v>360</v>
      </c>
      <c r="E275" s="185"/>
      <c r="F275" s="185">
        <v>4150</v>
      </c>
      <c r="G275" s="185" t="s">
        <v>357</v>
      </c>
      <c r="H275" s="187"/>
      <c r="I275" s="188"/>
      <c r="J275" s="189">
        <v>0</v>
      </c>
    </row>
    <row r="276" spans="1:10">
      <c r="A276" s="185" t="s">
        <v>822</v>
      </c>
      <c r="B276" s="185" t="s">
        <v>823</v>
      </c>
      <c r="C276" s="186" t="s">
        <v>180</v>
      </c>
      <c r="D276" s="185">
        <v>0</v>
      </c>
      <c r="E276" s="185"/>
      <c r="F276" s="185">
        <v>4150</v>
      </c>
      <c r="G276" s="185" t="s">
        <v>347</v>
      </c>
      <c r="H276" s="187"/>
      <c r="I276" s="188"/>
      <c r="J276" s="189">
        <v>9.0166666666666693</v>
      </c>
    </row>
    <row r="277" spans="1:10">
      <c r="A277" s="185" t="s">
        <v>824</v>
      </c>
      <c r="B277" s="185" t="s">
        <v>825</v>
      </c>
      <c r="C277" s="186" t="s">
        <v>180</v>
      </c>
      <c r="D277" s="185">
        <v>0</v>
      </c>
      <c r="E277" s="185"/>
      <c r="F277" s="185">
        <v>2150</v>
      </c>
      <c r="G277" s="185" t="s">
        <v>352</v>
      </c>
      <c r="H277" s="187"/>
      <c r="I277" s="188"/>
      <c r="J277" s="189">
        <v>39.616666666666703</v>
      </c>
    </row>
    <row r="278" spans="1:10">
      <c r="A278" s="185" t="s">
        <v>826</v>
      </c>
      <c r="B278" s="185" t="s">
        <v>827</v>
      </c>
      <c r="C278" s="186" t="s">
        <v>180</v>
      </c>
      <c r="D278" s="185">
        <v>0</v>
      </c>
      <c r="E278" s="185"/>
      <c r="F278" s="185">
        <v>2150</v>
      </c>
      <c r="G278" s="185" t="s">
        <v>352</v>
      </c>
      <c r="H278" s="187"/>
      <c r="I278" s="188"/>
      <c r="J278" s="189">
        <v>47.5</v>
      </c>
    </row>
    <row r="279" spans="1:10">
      <c r="A279" s="185" t="s">
        <v>828</v>
      </c>
      <c r="B279" s="185" t="s">
        <v>829</v>
      </c>
      <c r="C279" s="186" t="s">
        <v>180</v>
      </c>
      <c r="D279" s="185">
        <v>0</v>
      </c>
      <c r="E279" s="185"/>
      <c r="F279" s="185">
        <v>2150</v>
      </c>
      <c r="G279" s="185" t="s">
        <v>352</v>
      </c>
      <c r="H279" s="187"/>
      <c r="I279" s="188"/>
      <c r="J279" s="189">
        <v>25.8333333333333</v>
      </c>
    </row>
    <row r="280" spans="1:10">
      <c r="A280" s="185" t="s">
        <v>830</v>
      </c>
      <c r="B280" s="185" t="s">
        <v>831</v>
      </c>
      <c r="C280" s="186" t="s">
        <v>180</v>
      </c>
      <c r="D280" s="185">
        <v>0</v>
      </c>
      <c r="E280" s="185"/>
      <c r="F280" s="185">
        <v>2150</v>
      </c>
      <c r="G280" s="185" t="s">
        <v>352</v>
      </c>
      <c r="H280" s="187"/>
      <c r="I280" s="188"/>
      <c r="J280" s="189">
        <v>4.56666666666667</v>
      </c>
    </row>
    <row r="281" spans="1:10">
      <c r="A281" s="185" t="s">
        <v>832</v>
      </c>
      <c r="B281" s="185" t="s">
        <v>833</v>
      </c>
      <c r="C281" s="186" t="s">
        <v>180</v>
      </c>
      <c r="D281" s="185">
        <v>0</v>
      </c>
      <c r="E281" s="185"/>
      <c r="F281" s="185">
        <v>4150</v>
      </c>
      <c r="G281" s="185" t="s">
        <v>357</v>
      </c>
      <c r="H281" s="187"/>
      <c r="I281" s="188"/>
      <c r="J281" s="189">
        <v>171.84444444444401</v>
      </c>
    </row>
    <row r="282" spans="1:10">
      <c r="A282" s="185" t="s">
        <v>834</v>
      </c>
      <c r="B282" s="185" t="s">
        <v>835</v>
      </c>
      <c r="C282" s="186" t="s">
        <v>180</v>
      </c>
      <c r="D282" s="185">
        <v>0</v>
      </c>
      <c r="E282" s="185"/>
      <c r="F282" s="185">
        <v>4150</v>
      </c>
      <c r="G282" s="185" t="s">
        <v>357</v>
      </c>
      <c r="H282" s="187"/>
      <c r="I282" s="188"/>
      <c r="J282" s="189">
        <v>147.19999999999999</v>
      </c>
    </row>
    <row r="283" spans="1:10">
      <c r="A283" s="185" t="s">
        <v>836</v>
      </c>
      <c r="B283" s="185" t="s">
        <v>427</v>
      </c>
      <c r="C283" s="186" t="s">
        <v>180</v>
      </c>
      <c r="D283" s="185">
        <v>0</v>
      </c>
      <c r="E283" s="185"/>
      <c r="F283" s="185">
        <v>4150</v>
      </c>
      <c r="G283" s="185" t="s">
        <v>357</v>
      </c>
      <c r="H283" s="187"/>
      <c r="I283" s="188"/>
      <c r="J283" s="189">
        <v>16.6444444444444</v>
      </c>
    </row>
    <row r="284" spans="1:10">
      <c r="A284" s="185" t="s">
        <v>837</v>
      </c>
      <c r="B284" s="185" t="s">
        <v>425</v>
      </c>
      <c r="C284" s="186" t="s">
        <v>180</v>
      </c>
      <c r="D284" s="185">
        <v>0</v>
      </c>
      <c r="E284" s="185"/>
      <c r="F284" s="185">
        <v>4150</v>
      </c>
      <c r="G284" s="185" t="s">
        <v>357</v>
      </c>
      <c r="H284" s="187"/>
      <c r="I284" s="188"/>
      <c r="J284" s="189">
        <v>195.15555555555599</v>
      </c>
    </row>
    <row r="285" spans="1:10">
      <c r="A285" s="185" t="s">
        <v>838</v>
      </c>
      <c r="B285" s="185" t="s">
        <v>839</v>
      </c>
      <c r="C285" s="186" t="s">
        <v>176</v>
      </c>
      <c r="D285" s="185">
        <v>0</v>
      </c>
      <c r="E285" s="185"/>
      <c r="F285" s="185">
        <v>2100</v>
      </c>
      <c r="G285" s="185" t="s">
        <v>419</v>
      </c>
      <c r="H285" s="187"/>
      <c r="I285" s="188"/>
      <c r="J285" s="189">
        <v>0.3</v>
      </c>
    </row>
    <row r="286" spans="1:10">
      <c r="A286" s="185" t="s">
        <v>840</v>
      </c>
      <c r="B286" s="185" t="s">
        <v>841</v>
      </c>
      <c r="C286" s="186" t="s">
        <v>176</v>
      </c>
      <c r="D286" s="185">
        <v>0</v>
      </c>
      <c r="E286" s="185"/>
      <c r="F286" s="185">
        <v>2100</v>
      </c>
      <c r="G286" s="185" t="s">
        <v>419</v>
      </c>
      <c r="H286" s="187"/>
      <c r="I286" s="188"/>
      <c r="J286" s="189">
        <v>0.3</v>
      </c>
    </row>
    <row r="287" spans="1:10">
      <c r="A287" s="185" t="s">
        <v>1647</v>
      </c>
      <c r="B287" s="185" t="s">
        <v>842</v>
      </c>
      <c r="C287" s="186" t="s">
        <v>176</v>
      </c>
      <c r="D287" s="185">
        <v>0</v>
      </c>
      <c r="E287" s="185" t="s">
        <v>365</v>
      </c>
      <c r="F287" s="185">
        <v>2100</v>
      </c>
      <c r="G287" s="185" t="s">
        <v>419</v>
      </c>
      <c r="H287" s="187"/>
      <c r="I287" s="188"/>
      <c r="J287" s="189">
        <v>0.3</v>
      </c>
    </row>
    <row r="288" spans="1:10">
      <c r="A288" s="185" t="s">
        <v>1648</v>
      </c>
      <c r="B288" s="185" t="s">
        <v>843</v>
      </c>
      <c r="C288" s="186" t="s">
        <v>176</v>
      </c>
      <c r="D288" s="185" t="s">
        <v>360</v>
      </c>
      <c r="E288" s="185" t="s">
        <v>336</v>
      </c>
      <c r="F288" s="185">
        <v>2100</v>
      </c>
      <c r="G288" s="185" t="s">
        <v>419</v>
      </c>
      <c r="H288" s="187"/>
      <c r="I288" s="188"/>
      <c r="J288" s="189">
        <v>0.3</v>
      </c>
    </row>
    <row r="289" spans="1:10">
      <c r="A289" s="185" t="s">
        <v>844</v>
      </c>
      <c r="B289" s="185" t="s">
        <v>845</v>
      </c>
      <c r="C289" s="186" t="s">
        <v>176</v>
      </c>
      <c r="D289" s="185">
        <v>0</v>
      </c>
      <c r="E289" s="185"/>
      <c r="F289" s="185">
        <v>2100</v>
      </c>
      <c r="G289" s="185" t="s">
        <v>419</v>
      </c>
      <c r="H289" s="187"/>
      <c r="I289" s="188"/>
      <c r="J289" s="189">
        <v>0.3</v>
      </c>
    </row>
    <row r="290" spans="1:10">
      <c r="A290" s="185" t="s">
        <v>846</v>
      </c>
      <c r="B290" s="185" t="s">
        <v>847</v>
      </c>
      <c r="C290" s="186" t="s">
        <v>180</v>
      </c>
      <c r="D290" s="185">
        <v>0</v>
      </c>
      <c r="E290" s="185"/>
      <c r="F290" s="185">
        <v>4150</v>
      </c>
      <c r="G290" s="185" t="s">
        <v>374</v>
      </c>
      <c r="H290" s="187"/>
      <c r="I290" s="188"/>
      <c r="J290" s="189">
        <v>555.34285714285704</v>
      </c>
    </row>
    <row r="291" spans="1:10">
      <c r="A291" s="185" t="s">
        <v>848</v>
      </c>
      <c r="B291" s="185" t="s">
        <v>849</v>
      </c>
      <c r="C291" s="186" t="s">
        <v>180</v>
      </c>
      <c r="D291" s="185">
        <v>0</v>
      </c>
      <c r="E291" s="185"/>
      <c r="F291" s="185">
        <v>4150</v>
      </c>
      <c r="G291" s="185" t="s">
        <v>374</v>
      </c>
      <c r="H291" s="187"/>
      <c r="I291" s="188"/>
      <c r="J291" s="189">
        <v>555.34285714285704</v>
      </c>
    </row>
    <row r="292" spans="1:10">
      <c r="A292" s="185" t="s">
        <v>850</v>
      </c>
      <c r="B292" s="185" t="s">
        <v>851</v>
      </c>
      <c r="C292" s="186" t="s">
        <v>180</v>
      </c>
      <c r="D292" s="185">
        <v>0</v>
      </c>
      <c r="E292" s="185"/>
      <c r="F292" s="185">
        <v>4150</v>
      </c>
      <c r="G292" s="185" t="s">
        <v>374</v>
      </c>
      <c r="H292" s="187"/>
      <c r="I292" s="188"/>
      <c r="J292" s="189">
        <v>221.142857142857</v>
      </c>
    </row>
    <row r="293" spans="1:10">
      <c r="A293" s="185" t="s">
        <v>852</v>
      </c>
      <c r="B293" s="185" t="s">
        <v>853</v>
      </c>
      <c r="C293" s="186" t="s">
        <v>180</v>
      </c>
      <c r="D293" s="185">
        <v>0</v>
      </c>
      <c r="E293" s="185"/>
      <c r="F293" s="185">
        <v>4150</v>
      </c>
      <c r="G293" s="185" t="s">
        <v>374</v>
      </c>
      <c r="H293" s="187"/>
      <c r="I293" s="188"/>
      <c r="J293" s="189">
        <v>38</v>
      </c>
    </row>
    <row r="294" spans="1:10">
      <c r="A294" s="185" t="s">
        <v>854</v>
      </c>
      <c r="B294" s="185" t="s">
        <v>855</v>
      </c>
      <c r="C294" s="186" t="s">
        <v>180</v>
      </c>
      <c r="D294" s="185">
        <v>0</v>
      </c>
      <c r="E294" s="185"/>
      <c r="F294" s="185">
        <v>4150</v>
      </c>
      <c r="G294" s="185" t="s">
        <v>374</v>
      </c>
      <c r="H294" s="187"/>
      <c r="I294" s="188"/>
      <c r="J294" s="189">
        <v>41.528571428571396</v>
      </c>
    </row>
    <row r="295" spans="1:10">
      <c r="A295" s="185" t="s">
        <v>856</v>
      </c>
      <c r="B295" s="185" t="s">
        <v>857</v>
      </c>
      <c r="C295" s="186" t="s">
        <v>180</v>
      </c>
      <c r="D295" s="185">
        <v>0</v>
      </c>
      <c r="E295" s="185"/>
      <c r="F295" s="185">
        <v>4150</v>
      </c>
      <c r="G295" s="185" t="s">
        <v>374</v>
      </c>
      <c r="H295" s="187"/>
      <c r="I295" s="188"/>
      <c r="J295" s="189">
        <v>45.071428571428598</v>
      </c>
    </row>
    <row r="296" spans="1:10">
      <c r="A296" s="185" t="s">
        <v>858</v>
      </c>
      <c r="B296" s="185" t="s">
        <v>859</v>
      </c>
      <c r="C296" s="186" t="s">
        <v>180</v>
      </c>
      <c r="D296" s="185">
        <v>0</v>
      </c>
      <c r="E296" s="185"/>
      <c r="F296" s="185">
        <v>4150</v>
      </c>
      <c r="G296" s="185" t="s">
        <v>374</v>
      </c>
      <c r="H296" s="187"/>
      <c r="I296" s="188"/>
      <c r="J296" s="189">
        <v>342.28571428571399</v>
      </c>
    </row>
    <row r="297" spans="1:10">
      <c r="A297" s="185" t="s">
        <v>860</v>
      </c>
      <c r="B297" s="185" t="s">
        <v>861</v>
      </c>
      <c r="C297" s="186" t="s">
        <v>180</v>
      </c>
      <c r="D297" s="185" t="s">
        <v>360</v>
      </c>
      <c r="E297" s="185"/>
      <c r="F297" s="185">
        <v>4150</v>
      </c>
      <c r="G297" s="185" t="s">
        <v>374</v>
      </c>
      <c r="H297" s="187"/>
      <c r="I297" s="188"/>
      <c r="J297" s="189">
        <v>421.42857142857099</v>
      </c>
    </row>
    <row r="298" spans="1:10">
      <c r="A298" s="185" t="s">
        <v>862</v>
      </c>
      <c r="B298" s="185" t="s">
        <v>863</v>
      </c>
      <c r="C298" s="186" t="s">
        <v>180</v>
      </c>
      <c r="D298" s="185" t="s">
        <v>634</v>
      </c>
      <c r="E298" s="185"/>
      <c r="F298" s="185">
        <v>2150</v>
      </c>
      <c r="G298" s="185" t="s">
        <v>352</v>
      </c>
      <c r="H298" s="187"/>
      <c r="I298" s="188"/>
      <c r="J298" s="189">
        <v>175</v>
      </c>
    </row>
    <row r="299" spans="1:10">
      <c r="A299" s="185" t="s">
        <v>864</v>
      </c>
      <c r="B299" s="185" t="s">
        <v>865</v>
      </c>
      <c r="C299" s="186" t="s">
        <v>180</v>
      </c>
      <c r="D299" s="185" t="s">
        <v>360</v>
      </c>
      <c r="E299" s="185"/>
      <c r="F299" s="185">
        <v>2150</v>
      </c>
      <c r="G299" s="185" t="s">
        <v>352</v>
      </c>
      <c r="H299" s="187"/>
      <c r="I299" s="188"/>
      <c r="J299" s="189">
        <v>66.6666666666667</v>
      </c>
    </row>
    <row r="300" spans="1:10">
      <c r="A300" s="185" t="s">
        <v>866</v>
      </c>
      <c r="B300" s="185" t="s">
        <v>867</v>
      </c>
      <c r="C300" s="186" t="s">
        <v>180</v>
      </c>
      <c r="D300" s="185" t="s">
        <v>360</v>
      </c>
      <c r="E300" s="185"/>
      <c r="F300" s="185">
        <v>2150</v>
      </c>
      <c r="G300" s="185" t="s">
        <v>352</v>
      </c>
      <c r="H300" s="187"/>
      <c r="I300" s="188"/>
      <c r="J300" s="189">
        <v>91.6666666666667</v>
      </c>
    </row>
    <row r="301" spans="1:10">
      <c r="A301" s="185" t="s">
        <v>868</v>
      </c>
      <c r="B301" s="185" t="s">
        <v>869</v>
      </c>
      <c r="C301" s="186" t="s">
        <v>180</v>
      </c>
      <c r="D301" s="185">
        <v>0</v>
      </c>
      <c r="E301" s="185"/>
      <c r="F301" s="185">
        <v>2150</v>
      </c>
      <c r="G301" s="185" t="s">
        <v>352</v>
      </c>
      <c r="H301" s="187"/>
      <c r="I301" s="188"/>
      <c r="J301" s="189">
        <v>10</v>
      </c>
    </row>
    <row r="302" spans="1:10">
      <c r="A302" s="185" t="s">
        <v>870</v>
      </c>
      <c r="B302" s="185" t="s">
        <v>871</v>
      </c>
      <c r="C302" s="186" t="s">
        <v>180</v>
      </c>
      <c r="D302" s="185">
        <v>0</v>
      </c>
      <c r="E302" s="185"/>
      <c r="F302" s="185">
        <v>2150</v>
      </c>
      <c r="G302" s="185" t="s">
        <v>352</v>
      </c>
      <c r="H302" s="187"/>
      <c r="I302" s="188"/>
      <c r="J302" s="189">
        <v>0</v>
      </c>
    </row>
    <row r="303" spans="1:10">
      <c r="A303" s="185" t="s">
        <v>872</v>
      </c>
      <c r="B303" s="185" t="s">
        <v>873</v>
      </c>
      <c r="C303" s="186" t="s">
        <v>180</v>
      </c>
      <c r="D303" s="185">
        <v>0</v>
      </c>
      <c r="E303" s="185"/>
      <c r="F303" s="185">
        <v>2150</v>
      </c>
      <c r="G303" s="185" t="s">
        <v>352</v>
      </c>
      <c r="H303" s="187"/>
      <c r="I303" s="188"/>
      <c r="J303" s="189">
        <v>33.3333333333333</v>
      </c>
    </row>
    <row r="304" spans="1:10">
      <c r="A304" s="185" t="s">
        <v>874</v>
      </c>
      <c r="B304" s="185" t="s">
        <v>875</v>
      </c>
      <c r="C304" s="186" t="s">
        <v>180</v>
      </c>
      <c r="D304" s="185">
        <v>0</v>
      </c>
      <c r="E304" s="185"/>
      <c r="F304" s="185">
        <v>2150</v>
      </c>
      <c r="G304" s="185" t="s">
        <v>352</v>
      </c>
      <c r="H304" s="187"/>
      <c r="I304" s="188"/>
      <c r="J304" s="189">
        <v>0</v>
      </c>
    </row>
    <row r="305" spans="1:10">
      <c r="A305" s="185" t="s">
        <v>876</v>
      </c>
      <c r="B305" s="185" t="s">
        <v>875</v>
      </c>
      <c r="C305" s="186" t="s">
        <v>180</v>
      </c>
      <c r="D305" s="185">
        <v>0</v>
      </c>
      <c r="E305" s="185"/>
      <c r="F305" s="185">
        <v>2150</v>
      </c>
      <c r="G305" s="185" t="s">
        <v>352</v>
      </c>
      <c r="H305" s="187"/>
      <c r="I305" s="188"/>
      <c r="J305" s="189">
        <v>50</v>
      </c>
    </row>
    <row r="306" spans="1:10">
      <c r="A306" s="185" t="s">
        <v>877</v>
      </c>
      <c r="B306" s="185" t="s">
        <v>878</v>
      </c>
      <c r="C306" s="186" t="s">
        <v>180</v>
      </c>
      <c r="D306" s="185">
        <v>0</v>
      </c>
      <c r="E306" s="185"/>
      <c r="F306" s="185">
        <v>2150</v>
      </c>
      <c r="G306" s="185" t="s">
        <v>352</v>
      </c>
      <c r="H306" s="187"/>
      <c r="I306" s="188"/>
      <c r="J306" s="189">
        <v>54.466666666666697</v>
      </c>
    </row>
    <row r="307" spans="1:10">
      <c r="A307" s="185" t="s">
        <v>879</v>
      </c>
      <c r="B307" s="185" t="s">
        <v>880</v>
      </c>
      <c r="C307" s="186" t="s">
        <v>180</v>
      </c>
      <c r="D307" s="185">
        <v>0</v>
      </c>
      <c r="E307" s="185"/>
      <c r="F307" s="185">
        <v>2150</v>
      </c>
      <c r="G307" s="185" t="s">
        <v>352</v>
      </c>
      <c r="H307" s="187"/>
      <c r="I307" s="188"/>
      <c r="J307" s="189">
        <v>441.66666666666703</v>
      </c>
    </row>
    <row r="308" spans="1:10">
      <c r="A308" s="185" t="s">
        <v>881</v>
      </c>
      <c r="B308" s="185" t="s">
        <v>882</v>
      </c>
      <c r="C308" s="186" t="s">
        <v>180</v>
      </c>
      <c r="D308" s="185">
        <v>0</v>
      </c>
      <c r="E308" s="185"/>
      <c r="F308" s="185">
        <v>2150</v>
      </c>
      <c r="G308" s="185" t="s">
        <v>352</v>
      </c>
      <c r="H308" s="187"/>
      <c r="I308" s="188"/>
      <c r="J308" s="189">
        <v>265</v>
      </c>
    </row>
    <row r="309" spans="1:10">
      <c r="A309" s="185" t="s">
        <v>883</v>
      </c>
      <c r="B309" s="185" t="s">
        <v>884</v>
      </c>
      <c r="C309" s="186" t="s">
        <v>180</v>
      </c>
      <c r="D309" s="185">
        <v>0</v>
      </c>
      <c r="E309" s="185"/>
      <c r="F309" s="185">
        <v>2150</v>
      </c>
      <c r="G309" s="185" t="s">
        <v>352</v>
      </c>
      <c r="H309" s="187"/>
      <c r="I309" s="188"/>
      <c r="J309" s="189">
        <v>198.13333333333301</v>
      </c>
    </row>
    <row r="310" spans="1:10">
      <c r="A310" s="185" t="s">
        <v>885</v>
      </c>
      <c r="B310" s="185" t="s">
        <v>886</v>
      </c>
      <c r="C310" s="186" t="s">
        <v>180</v>
      </c>
      <c r="D310" s="185">
        <v>0</v>
      </c>
      <c r="E310" s="185"/>
      <c r="F310" s="185">
        <v>2150</v>
      </c>
      <c r="G310" s="185" t="s">
        <v>352</v>
      </c>
      <c r="H310" s="187"/>
      <c r="I310" s="188"/>
      <c r="J310" s="189">
        <v>11.6666666666667</v>
      </c>
    </row>
    <row r="311" spans="1:10">
      <c r="A311" s="185" t="s">
        <v>887</v>
      </c>
      <c r="B311" s="185" t="s">
        <v>888</v>
      </c>
      <c r="C311" s="186" t="s">
        <v>180</v>
      </c>
      <c r="D311" s="185">
        <v>0</v>
      </c>
      <c r="E311" s="185"/>
      <c r="F311" s="185">
        <v>2150</v>
      </c>
      <c r="G311" s="185" t="s">
        <v>352</v>
      </c>
      <c r="H311" s="187"/>
      <c r="I311" s="188"/>
      <c r="J311" s="189">
        <v>16.6666666666667</v>
      </c>
    </row>
    <row r="312" spans="1:10">
      <c r="A312" s="185" t="s">
        <v>889</v>
      </c>
      <c r="B312" s="185" t="s">
        <v>890</v>
      </c>
      <c r="C312" s="186" t="s">
        <v>180</v>
      </c>
      <c r="D312" s="185">
        <v>0</v>
      </c>
      <c r="E312" s="185"/>
      <c r="F312" s="185">
        <v>2150</v>
      </c>
      <c r="G312" s="185" t="s">
        <v>352</v>
      </c>
      <c r="H312" s="187"/>
      <c r="I312" s="188"/>
      <c r="J312" s="189">
        <v>16.6666666666667</v>
      </c>
    </row>
    <row r="313" spans="1:10">
      <c r="A313" s="185" t="s">
        <v>891</v>
      </c>
      <c r="B313" s="185" t="s">
        <v>892</v>
      </c>
      <c r="C313" s="186" t="s">
        <v>180</v>
      </c>
      <c r="D313" s="185">
        <v>0</v>
      </c>
      <c r="E313" s="185"/>
      <c r="F313" s="185">
        <v>4150</v>
      </c>
      <c r="G313" s="185" t="s">
        <v>357</v>
      </c>
      <c r="H313" s="187"/>
      <c r="I313" s="188"/>
      <c r="J313" s="189">
        <v>112.244444444444</v>
      </c>
    </row>
    <row r="314" spans="1:10">
      <c r="A314" s="185" t="s">
        <v>893</v>
      </c>
      <c r="B314" s="185" t="s">
        <v>894</v>
      </c>
      <c r="C314" s="186" t="s">
        <v>180</v>
      </c>
      <c r="D314" s="185">
        <v>0</v>
      </c>
      <c r="E314" s="185"/>
      <c r="F314" s="185">
        <v>2150</v>
      </c>
      <c r="G314" s="185" t="s">
        <v>352</v>
      </c>
      <c r="H314" s="187"/>
      <c r="I314" s="188"/>
      <c r="J314" s="189">
        <v>79.516666666666694</v>
      </c>
    </row>
    <row r="315" spans="1:10">
      <c r="A315" s="185" t="s">
        <v>895</v>
      </c>
      <c r="B315" s="185" t="s">
        <v>896</v>
      </c>
      <c r="C315" s="186" t="s">
        <v>180</v>
      </c>
      <c r="D315" s="185">
        <v>0</v>
      </c>
      <c r="E315" s="185"/>
      <c r="F315" s="185">
        <v>2150</v>
      </c>
      <c r="G315" s="185" t="s">
        <v>352</v>
      </c>
      <c r="H315" s="187"/>
      <c r="I315" s="188"/>
      <c r="J315" s="189">
        <v>83.5</v>
      </c>
    </row>
    <row r="316" spans="1:10">
      <c r="A316" s="185" t="s">
        <v>897</v>
      </c>
      <c r="B316" s="185" t="s">
        <v>898</v>
      </c>
      <c r="C316" s="186" t="s">
        <v>180</v>
      </c>
      <c r="D316" s="185">
        <v>0</v>
      </c>
      <c r="E316" s="185"/>
      <c r="F316" s="185">
        <v>4150</v>
      </c>
      <c r="G316" s="185" t="s">
        <v>357</v>
      </c>
      <c r="H316" s="187"/>
      <c r="I316" s="188"/>
      <c r="J316" s="189">
        <v>55.7777777777778</v>
      </c>
    </row>
    <row r="317" spans="1:10">
      <c r="A317" s="185" t="s">
        <v>899</v>
      </c>
      <c r="B317" s="185" t="s">
        <v>900</v>
      </c>
      <c r="C317" s="186" t="s">
        <v>180</v>
      </c>
      <c r="D317" s="185">
        <v>0</v>
      </c>
      <c r="E317" s="185"/>
      <c r="F317" s="185">
        <v>4150</v>
      </c>
      <c r="G317" s="185" t="s">
        <v>357</v>
      </c>
      <c r="H317" s="187"/>
      <c r="I317" s="188"/>
      <c r="J317" s="189">
        <v>130.46666666666701</v>
      </c>
    </row>
    <row r="318" spans="1:10">
      <c r="A318" s="185" t="s">
        <v>901</v>
      </c>
      <c r="B318" s="185" t="s">
        <v>902</v>
      </c>
      <c r="C318" s="186" t="s">
        <v>180</v>
      </c>
      <c r="D318" s="185" t="s">
        <v>634</v>
      </c>
      <c r="E318" s="185"/>
      <c r="F318" s="185">
        <v>2150</v>
      </c>
      <c r="G318" s="185" t="s">
        <v>352</v>
      </c>
      <c r="H318" s="187"/>
      <c r="I318" s="188"/>
      <c r="J318" s="189">
        <v>110.816666666667</v>
      </c>
    </row>
    <row r="319" spans="1:10">
      <c r="A319" s="185" t="s">
        <v>903</v>
      </c>
      <c r="B319" s="185" t="s">
        <v>904</v>
      </c>
      <c r="C319" s="186" t="s">
        <v>180</v>
      </c>
      <c r="D319" s="185" t="s">
        <v>515</v>
      </c>
      <c r="E319" s="185"/>
      <c r="F319" s="185">
        <v>2150</v>
      </c>
      <c r="G319" s="185" t="s">
        <v>352</v>
      </c>
      <c r="H319" s="187"/>
      <c r="I319" s="188"/>
      <c r="J319" s="189">
        <v>211.8</v>
      </c>
    </row>
    <row r="320" spans="1:10">
      <c r="A320" s="185" t="s">
        <v>905</v>
      </c>
      <c r="B320" s="185" t="s">
        <v>906</v>
      </c>
      <c r="C320" s="186" t="s">
        <v>180</v>
      </c>
      <c r="D320" s="185" t="s">
        <v>637</v>
      </c>
      <c r="E320" s="185"/>
      <c r="F320" s="185">
        <v>2150</v>
      </c>
      <c r="G320" s="185" t="s">
        <v>352</v>
      </c>
      <c r="H320" s="187"/>
      <c r="I320" s="188"/>
      <c r="J320" s="189">
        <v>30.8333333333333</v>
      </c>
    </row>
    <row r="321" spans="1:10">
      <c r="A321" s="185" t="s">
        <v>907</v>
      </c>
      <c r="B321" s="185" t="s">
        <v>908</v>
      </c>
      <c r="C321" s="186" t="s">
        <v>180</v>
      </c>
      <c r="D321" s="185">
        <v>0</v>
      </c>
      <c r="E321" s="185"/>
      <c r="F321" s="185">
        <v>2150</v>
      </c>
      <c r="G321" s="185" t="s">
        <v>352</v>
      </c>
      <c r="H321" s="187"/>
      <c r="I321" s="188"/>
      <c r="J321" s="189">
        <v>0</v>
      </c>
    </row>
    <row r="322" spans="1:10">
      <c r="A322" s="185" t="s">
        <v>909</v>
      </c>
      <c r="B322" s="185" t="s">
        <v>910</v>
      </c>
      <c r="C322" s="186" t="s">
        <v>180</v>
      </c>
      <c r="D322" s="185">
        <v>0</v>
      </c>
      <c r="E322" s="185"/>
      <c r="F322" s="185">
        <v>2150</v>
      </c>
      <c r="G322" s="185" t="s">
        <v>352</v>
      </c>
      <c r="H322" s="187"/>
      <c r="I322" s="188"/>
      <c r="J322" s="189">
        <v>42.5</v>
      </c>
    </row>
    <row r="323" spans="1:10">
      <c r="A323" s="185" t="s">
        <v>911</v>
      </c>
      <c r="B323" s="185" t="s">
        <v>833</v>
      </c>
      <c r="C323" s="186" t="s">
        <v>180</v>
      </c>
      <c r="D323" s="185">
        <v>0</v>
      </c>
      <c r="E323" s="185"/>
      <c r="F323" s="185">
        <v>4150</v>
      </c>
      <c r="G323" s="185" t="s">
        <v>357</v>
      </c>
      <c r="H323" s="187"/>
      <c r="I323" s="188"/>
      <c r="J323" s="189">
        <v>178.777777777778</v>
      </c>
    </row>
    <row r="324" spans="1:10">
      <c r="A324" s="185" t="s">
        <v>912</v>
      </c>
      <c r="B324" s="185" t="s">
        <v>913</v>
      </c>
      <c r="C324" s="186" t="s">
        <v>180</v>
      </c>
      <c r="D324" s="185">
        <v>0</v>
      </c>
      <c r="E324" s="185"/>
      <c r="F324" s="185">
        <v>4150</v>
      </c>
      <c r="G324" s="185" t="s">
        <v>347</v>
      </c>
      <c r="H324" s="187"/>
      <c r="I324" s="188"/>
      <c r="J324" s="189">
        <v>51.3333333333333</v>
      </c>
    </row>
    <row r="325" spans="1:10">
      <c r="A325" s="185" t="s">
        <v>914</v>
      </c>
      <c r="B325" s="185" t="s">
        <v>915</v>
      </c>
      <c r="C325" s="186" t="s">
        <v>180</v>
      </c>
      <c r="D325" s="185">
        <v>0</v>
      </c>
      <c r="E325" s="185"/>
      <c r="F325" s="185">
        <v>4150</v>
      </c>
      <c r="G325" s="185" t="s">
        <v>347</v>
      </c>
      <c r="H325" s="187"/>
      <c r="I325" s="188"/>
      <c r="J325" s="189">
        <v>14.883333333333301</v>
      </c>
    </row>
    <row r="326" spans="1:10">
      <c r="A326" s="185" t="s">
        <v>916</v>
      </c>
      <c r="B326" s="185" t="s">
        <v>917</v>
      </c>
      <c r="C326" s="186" t="s">
        <v>180</v>
      </c>
      <c r="D326" s="185">
        <v>0</v>
      </c>
      <c r="E326" s="185"/>
      <c r="F326" s="185">
        <v>2150</v>
      </c>
      <c r="G326" s="185" t="s">
        <v>352</v>
      </c>
      <c r="H326" s="187"/>
      <c r="I326" s="188"/>
      <c r="J326" s="189">
        <v>231.55</v>
      </c>
    </row>
    <row r="327" spans="1:10">
      <c r="A327" s="185" t="s">
        <v>918</v>
      </c>
      <c r="B327" s="185" t="s">
        <v>546</v>
      </c>
      <c r="C327" s="186" t="s">
        <v>180</v>
      </c>
      <c r="D327" s="185">
        <v>0</v>
      </c>
      <c r="E327" s="185"/>
      <c r="F327" s="185">
        <v>4150</v>
      </c>
      <c r="G327" s="185" t="s">
        <v>357</v>
      </c>
      <c r="H327" s="187"/>
      <c r="I327" s="188"/>
      <c r="J327" s="189">
        <v>6.0444444444444496</v>
      </c>
    </row>
    <row r="328" spans="1:10">
      <c r="A328" s="185" t="s">
        <v>919</v>
      </c>
      <c r="B328" s="185" t="s">
        <v>920</v>
      </c>
      <c r="C328" s="186" t="s">
        <v>176</v>
      </c>
      <c r="D328" s="185">
        <v>0</v>
      </c>
      <c r="E328" s="185" t="s">
        <v>365</v>
      </c>
      <c r="F328" s="185">
        <v>2100</v>
      </c>
      <c r="G328" s="185" t="s">
        <v>419</v>
      </c>
      <c r="H328" s="187"/>
      <c r="I328" s="188"/>
      <c r="J328" s="189">
        <v>0.3</v>
      </c>
    </row>
    <row r="329" spans="1:10">
      <c r="A329" s="185" t="s">
        <v>921</v>
      </c>
      <c r="B329" s="185" t="s">
        <v>922</v>
      </c>
      <c r="C329" s="186" t="s">
        <v>180</v>
      </c>
      <c r="D329" s="185">
        <v>0</v>
      </c>
      <c r="E329" s="185"/>
      <c r="F329" s="185">
        <v>4150</v>
      </c>
      <c r="G329" s="185" t="s">
        <v>347</v>
      </c>
      <c r="H329" s="187"/>
      <c r="I329" s="188"/>
      <c r="J329" s="189">
        <v>1.5166666666666699</v>
      </c>
    </row>
    <row r="330" spans="1:10">
      <c r="A330" s="185" t="s">
        <v>923</v>
      </c>
      <c r="B330" s="185" t="s">
        <v>924</v>
      </c>
      <c r="C330" s="186" t="s">
        <v>180</v>
      </c>
      <c r="D330" s="185">
        <v>0</v>
      </c>
      <c r="E330" s="185"/>
      <c r="F330" s="185">
        <v>4150</v>
      </c>
      <c r="G330" s="185" t="s">
        <v>347</v>
      </c>
      <c r="H330" s="187"/>
      <c r="I330" s="188"/>
      <c r="J330" s="189">
        <v>1.4</v>
      </c>
    </row>
    <row r="331" spans="1:10">
      <c r="A331" s="185" t="s">
        <v>925</v>
      </c>
      <c r="B331" s="185" t="s">
        <v>926</v>
      </c>
      <c r="C331" s="186" t="s">
        <v>180</v>
      </c>
      <c r="D331" s="185">
        <v>0</v>
      </c>
      <c r="E331" s="185"/>
      <c r="F331" s="185">
        <v>4150</v>
      </c>
      <c r="G331" s="185" t="s">
        <v>347</v>
      </c>
      <c r="H331" s="187"/>
      <c r="I331" s="188"/>
      <c r="J331" s="189">
        <v>0.18333333333333299</v>
      </c>
    </row>
    <row r="332" spans="1:10">
      <c r="A332" s="185" t="s">
        <v>927</v>
      </c>
      <c r="B332" s="185" t="s">
        <v>928</v>
      </c>
      <c r="C332" s="186" t="s">
        <v>180</v>
      </c>
      <c r="D332" s="185">
        <v>0</v>
      </c>
      <c r="E332" s="185"/>
      <c r="F332" s="185">
        <v>4150</v>
      </c>
      <c r="G332" s="185" t="s">
        <v>347</v>
      </c>
      <c r="H332" s="187"/>
      <c r="I332" s="188"/>
      <c r="J332" s="189">
        <v>22.85</v>
      </c>
    </row>
    <row r="333" spans="1:10">
      <c r="A333" s="185" t="s">
        <v>929</v>
      </c>
      <c r="B333" s="185" t="s">
        <v>930</v>
      </c>
      <c r="C333" s="186" t="s">
        <v>180</v>
      </c>
      <c r="D333" s="185">
        <v>0</v>
      </c>
      <c r="E333" s="185"/>
      <c r="F333" s="185">
        <v>4150</v>
      </c>
      <c r="G333" s="185" t="s">
        <v>374</v>
      </c>
      <c r="H333" s="187"/>
      <c r="I333" s="188"/>
      <c r="J333" s="189">
        <v>623.57142857142901</v>
      </c>
    </row>
    <row r="334" spans="1:10">
      <c r="A334" s="185" t="s">
        <v>931</v>
      </c>
      <c r="B334" s="185" t="s">
        <v>932</v>
      </c>
      <c r="C334" s="186" t="s">
        <v>180</v>
      </c>
      <c r="D334" s="185">
        <v>0</v>
      </c>
      <c r="E334" s="185"/>
      <c r="F334" s="185">
        <v>4150</v>
      </c>
      <c r="G334" s="185" t="s">
        <v>374</v>
      </c>
      <c r="H334" s="187"/>
      <c r="I334" s="188"/>
      <c r="J334" s="189">
        <v>498.271428571429</v>
      </c>
    </row>
    <row r="335" spans="1:10">
      <c r="A335" s="185" t="s">
        <v>933</v>
      </c>
      <c r="B335" s="185" t="s">
        <v>934</v>
      </c>
      <c r="C335" s="186" t="s">
        <v>180</v>
      </c>
      <c r="D335" s="185">
        <v>0</v>
      </c>
      <c r="E335" s="185"/>
      <c r="F335" s="185">
        <v>4150</v>
      </c>
      <c r="G335" s="185" t="s">
        <v>347</v>
      </c>
      <c r="H335" s="187"/>
      <c r="I335" s="188"/>
      <c r="J335" s="189">
        <v>582.06666666666695</v>
      </c>
    </row>
    <row r="336" spans="1:10">
      <c r="A336" s="185" t="s">
        <v>935</v>
      </c>
      <c r="B336" s="185" t="s">
        <v>936</v>
      </c>
      <c r="C336" s="186" t="s">
        <v>180</v>
      </c>
      <c r="D336" s="185">
        <v>0</v>
      </c>
      <c r="E336" s="185"/>
      <c r="F336" s="185">
        <v>4150</v>
      </c>
      <c r="G336" s="185" t="s">
        <v>357</v>
      </c>
      <c r="H336" s="187"/>
      <c r="I336" s="188"/>
      <c r="J336" s="189">
        <v>87.8888888888889</v>
      </c>
    </row>
    <row r="337" spans="1:10">
      <c r="A337" s="185" t="s">
        <v>937</v>
      </c>
      <c r="B337" s="185" t="s">
        <v>938</v>
      </c>
      <c r="C337" s="186" t="s">
        <v>180</v>
      </c>
      <c r="D337" s="185">
        <v>0</v>
      </c>
      <c r="E337" s="185"/>
      <c r="F337" s="185">
        <v>4150</v>
      </c>
      <c r="G337" s="185" t="s">
        <v>512</v>
      </c>
      <c r="H337" s="187"/>
      <c r="I337" s="188"/>
      <c r="J337" s="189">
        <v>0</v>
      </c>
    </row>
    <row r="338" spans="1:10">
      <c r="A338" s="185" t="s">
        <v>939</v>
      </c>
      <c r="B338" s="185" t="s">
        <v>940</v>
      </c>
      <c r="C338" s="186" t="s">
        <v>180</v>
      </c>
      <c r="D338" s="185">
        <v>0</v>
      </c>
      <c r="E338" s="185"/>
      <c r="F338" s="185">
        <v>4150</v>
      </c>
      <c r="G338" s="185" t="s">
        <v>512</v>
      </c>
      <c r="H338" s="187"/>
      <c r="I338" s="188"/>
      <c r="J338" s="189">
        <v>0</v>
      </c>
    </row>
    <row r="339" spans="1:10">
      <c r="A339" s="185" t="s">
        <v>941</v>
      </c>
      <c r="B339" s="185" t="s">
        <v>942</v>
      </c>
      <c r="C339" s="186" t="s">
        <v>180</v>
      </c>
      <c r="D339" s="185">
        <v>0</v>
      </c>
      <c r="E339" s="185"/>
      <c r="F339" s="185">
        <v>4150</v>
      </c>
      <c r="G339" s="185" t="s">
        <v>512</v>
      </c>
      <c r="H339" s="187"/>
      <c r="I339" s="188"/>
      <c r="J339" s="189">
        <v>0</v>
      </c>
    </row>
    <row r="340" spans="1:10">
      <c r="A340" s="185" t="s">
        <v>943</v>
      </c>
      <c r="B340" s="185" t="s">
        <v>944</v>
      </c>
      <c r="C340" s="186" t="s">
        <v>180</v>
      </c>
      <c r="D340" s="185">
        <v>0</v>
      </c>
      <c r="E340" s="185"/>
      <c r="F340" s="185">
        <v>4150</v>
      </c>
      <c r="G340" s="185" t="s">
        <v>512</v>
      </c>
      <c r="H340" s="187"/>
      <c r="I340" s="188"/>
      <c r="J340" s="189">
        <v>0</v>
      </c>
    </row>
    <row r="341" spans="1:10">
      <c r="A341" s="185" t="s">
        <v>945</v>
      </c>
      <c r="B341" s="185" t="s">
        <v>946</v>
      </c>
      <c r="C341" s="186" t="s">
        <v>180</v>
      </c>
      <c r="D341" s="185">
        <v>0</v>
      </c>
      <c r="E341" s="185"/>
      <c r="F341" s="185">
        <v>4150</v>
      </c>
      <c r="G341" s="185" t="s">
        <v>512</v>
      </c>
      <c r="H341" s="187"/>
      <c r="I341" s="188"/>
      <c r="J341" s="189">
        <v>0</v>
      </c>
    </row>
    <row r="342" spans="1:10">
      <c r="A342" s="185" t="s">
        <v>947</v>
      </c>
      <c r="B342" s="185" t="s">
        <v>948</v>
      </c>
      <c r="C342" s="186" t="s">
        <v>180</v>
      </c>
      <c r="D342" s="185">
        <v>0</v>
      </c>
      <c r="E342" s="185"/>
      <c r="F342" s="185">
        <v>4150</v>
      </c>
      <c r="G342" s="185" t="s">
        <v>512</v>
      </c>
      <c r="H342" s="187"/>
      <c r="I342" s="188"/>
      <c r="J342" s="189">
        <v>0</v>
      </c>
    </row>
    <row r="343" spans="1:10">
      <c r="A343" s="185" t="s">
        <v>949</v>
      </c>
      <c r="B343" s="185" t="s">
        <v>950</v>
      </c>
      <c r="C343" s="186" t="s">
        <v>180</v>
      </c>
      <c r="D343" s="185">
        <v>0</v>
      </c>
      <c r="E343" s="185"/>
      <c r="F343" s="185">
        <v>4150</v>
      </c>
      <c r="G343" s="185" t="s">
        <v>512</v>
      </c>
      <c r="H343" s="187"/>
      <c r="I343" s="188"/>
      <c r="J343" s="189">
        <v>0</v>
      </c>
    </row>
    <row r="344" spans="1:10">
      <c r="A344" s="185" t="s">
        <v>951</v>
      </c>
      <c r="B344" s="185" t="s">
        <v>952</v>
      </c>
      <c r="C344" s="186" t="s">
        <v>180</v>
      </c>
      <c r="D344" s="185">
        <v>0</v>
      </c>
      <c r="E344" s="185"/>
      <c r="F344" s="185">
        <v>4150</v>
      </c>
      <c r="G344" s="185" t="s">
        <v>512</v>
      </c>
      <c r="H344" s="187"/>
      <c r="I344" s="188"/>
      <c r="J344" s="189">
        <v>0</v>
      </c>
    </row>
    <row r="345" spans="1:10">
      <c r="A345" s="185" t="s">
        <v>953</v>
      </c>
      <c r="B345" s="185" t="s">
        <v>954</v>
      </c>
      <c r="C345" s="186" t="s">
        <v>180</v>
      </c>
      <c r="D345" s="185">
        <v>0</v>
      </c>
      <c r="E345" s="185"/>
      <c r="F345" s="185">
        <v>4150</v>
      </c>
      <c r="G345" s="185" t="s">
        <v>512</v>
      </c>
      <c r="H345" s="187"/>
      <c r="I345" s="188"/>
      <c r="J345" s="189">
        <v>0</v>
      </c>
    </row>
    <row r="346" spans="1:10">
      <c r="A346" s="185" t="s">
        <v>955</v>
      </c>
      <c r="B346" s="185" t="s">
        <v>956</v>
      </c>
      <c r="C346" s="186" t="s">
        <v>180</v>
      </c>
      <c r="D346" s="185">
        <v>0</v>
      </c>
      <c r="E346" s="185"/>
      <c r="F346" s="185">
        <v>4150</v>
      </c>
      <c r="G346" s="185" t="s">
        <v>512</v>
      </c>
      <c r="H346" s="187"/>
      <c r="I346" s="188"/>
      <c r="J346" s="189">
        <v>0</v>
      </c>
    </row>
    <row r="347" spans="1:10">
      <c r="A347" s="185" t="s">
        <v>957</v>
      </c>
      <c r="B347" s="185" t="s">
        <v>958</v>
      </c>
      <c r="C347" s="186" t="s">
        <v>180</v>
      </c>
      <c r="D347" s="185">
        <v>0</v>
      </c>
      <c r="E347" s="185"/>
      <c r="F347" s="185">
        <v>4150</v>
      </c>
      <c r="G347" s="185" t="s">
        <v>512</v>
      </c>
      <c r="H347" s="187"/>
      <c r="I347" s="188"/>
      <c r="J347" s="189">
        <v>0</v>
      </c>
    </row>
    <row r="348" spans="1:10">
      <c r="A348" s="185" t="s">
        <v>959</v>
      </c>
      <c r="B348" s="185" t="s">
        <v>960</v>
      </c>
      <c r="C348" s="186" t="s">
        <v>180</v>
      </c>
      <c r="D348" s="185">
        <v>0</v>
      </c>
      <c r="E348" s="185"/>
      <c r="F348" s="185">
        <v>4150</v>
      </c>
      <c r="G348" s="185" t="s">
        <v>512</v>
      </c>
      <c r="H348" s="187"/>
      <c r="I348" s="188"/>
      <c r="J348" s="189">
        <v>0</v>
      </c>
    </row>
    <row r="349" spans="1:10">
      <c r="A349" s="185" t="s">
        <v>961</v>
      </c>
      <c r="B349" s="185" t="s">
        <v>962</v>
      </c>
      <c r="C349" s="186" t="s">
        <v>180</v>
      </c>
      <c r="D349" s="185">
        <v>0</v>
      </c>
      <c r="E349" s="185"/>
      <c r="F349" s="185">
        <v>4150</v>
      </c>
      <c r="G349" s="185" t="s">
        <v>512</v>
      </c>
      <c r="H349" s="187"/>
      <c r="I349" s="188"/>
      <c r="J349" s="189">
        <v>0</v>
      </c>
    </row>
    <row r="350" spans="1:10">
      <c r="A350" s="185" t="s">
        <v>963</v>
      </c>
      <c r="B350" s="185" t="s">
        <v>964</v>
      </c>
      <c r="C350" s="186" t="s">
        <v>180</v>
      </c>
      <c r="D350" s="185">
        <v>0</v>
      </c>
      <c r="E350" s="185"/>
      <c r="F350" s="185">
        <v>4150</v>
      </c>
      <c r="G350" s="185" t="s">
        <v>512</v>
      </c>
      <c r="H350" s="187"/>
      <c r="I350" s="188"/>
      <c r="J350" s="189">
        <v>3.77142857142857</v>
      </c>
    </row>
    <row r="351" spans="1:10">
      <c r="A351" s="185" t="s">
        <v>1736</v>
      </c>
      <c r="B351" s="185" t="s">
        <v>1737</v>
      </c>
      <c r="C351" s="186" t="s">
        <v>176</v>
      </c>
      <c r="D351" s="185">
        <v>0</v>
      </c>
      <c r="E351" s="185" t="s">
        <v>365</v>
      </c>
      <c r="F351" s="185">
        <v>2100</v>
      </c>
      <c r="G351" s="185" t="s">
        <v>419</v>
      </c>
      <c r="H351" s="187"/>
      <c r="I351" s="188"/>
      <c r="J351" s="189">
        <v>0.3</v>
      </c>
    </row>
    <row r="352" spans="1:10">
      <c r="A352" s="185" t="s">
        <v>965</v>
      </c>
      <c r="B352" s="185" t="s">
        <v>966</v>
      </c>
      <c r="C352" s="186" t="s">
        <v>180</v>
      </c>
      <c r="D352" s="185">
        <v>0</v>
      </c>
      <c r="E352" s="185"/>
      <c r="F352" s="185">
        <v>4150</v>
      </c>
      <c r="G352" s="185" t="s">
        <v>347</v>
      </c>
      <c r="H352" s="187"/>
      <c r="I352" s="188"/>
      <c r="J352" s="189">
        <v>4.2666666666666702</v>
      </c>
    </row>
    <row r="353" spans="1:10">
      <c r="A353" s="185" t="s">
        <v>967</v>
      </c>
      <c r="B353" s="185" t="s">
        <v>968</v>
      </c>
      <c r="C353" s="186" t="s">
        <v>180</v>
      </c>
      <c r="D353" s="185">
        <v>0</v>
      </c>
      <c r="E353" s="185"/>
      <c r="F353" s="185">
        <v>4150</v>
      </c>
      <c r="G353" s="185" t="s">
        <v>512</v>
      </c>
      <c r="H353" s="187"/>
      <c r="I353" s="188"/>
      <c r="J353" s="189">
        <v>2.3714285714285701</v>
      </c>
    </row>
    <row r="354" spans="1:10">
      <c r="A354" s="185" t="s">
        <v>969</v>
      </c>
      <c r="B354" s="185" t="s">
        <v>753</v>
      </c>
      <c r="C354" s="186" t="s">
        <v>180</v>
      </c>
      <c r="D354" s="185">
        <v>0</v>
      </c>
      <c r="E354" s="185"/>
      <c r="F354" s="185">
        <v>4150</v>
      </c>
      <c r="G354" s="185" t="s">
        <v>512</v>
      </c>
      <c r="H354" s="187"/>
      <c r="I354" s="188"/>
      <c r="J354" s="189">
        <v>0.128571428571429</v>
      </c>
    </row>
    <row r="355" spans="1:10">
      <c r="A355" s="185" t="s">
        <v>970</v>
      </c>
      <c r="B355" s="185" t="s">
        <v>831</v>
      </c>
      <c r="C355" s="186" t="s">
        <v>180</v>
      </c>
      <c r="D355" s="185">
        <v>0</v>
      </c>
      <c r="E355" s="185"/>
      <c r="F355" s="185">
        <v>4150</v>
      </c>
      <c r="G355" s="185" t="s">
        <v>374</v>
      </c>
      <c r="H355" s="187"/>
      <c r="I355" s="188"/>
      <c r="J355" s="189">
        <v>5.7714285714285696</v>
      </c>
    </row>
    <row r="356" spans="1:10">
      <c r="A356" s="185" t="s">
        <v>971</v>
      </c>
      <c r="B356" s="185" t="s">
        <v>972</v>
      </c>
      <c r="C356" s="186" t="s">
        <v>180</v>
      </c>
      <c r="D356" s="185">
        <v>0</v>
      </c>
      <c r="E356" s="185"/>
      <c r="F356" s="185">
        <v>4150</v>
      </c>
      <c r="G356" s="185" t="s">
        <v>512</v>
      </c>
      <c r="H356" s="187"/>
      <c r="I356" s="188"/>
      <c r="J356" s="189">
        <v>1.3142857142857101</v>
      </c>
    </row>
    <row r="357" spans="1:10">
      <c r="A357" s="185" t="s">
        <v>973</v>
      </c>
      <c r="B357" s="185" t="s">
        <v>974</v>
      </c>
      <c r="C357" s="186" t="s">
        <v>180</v>
      </c>
      <c r="D357" s="185">
        <v>0</v>
      </c>
      <c r="E357" s="185"/>
      <c r="F357" s="185">
        <v>4150</v>
      </c>
      <c r="G357" s="185" t="s">
        <v>512</v>
      </c>
      <c r="H357" s="187"/>
      <c r="I357" s="188"/>
      <c r="J357" s="189">
        <v>0.38571428571428601</v>
      </c>
    </row>
    <row r="358" spans="1:10">
      <c r="A358" s="185" t="s">
        <v>975</v>
      </c>
      <c r="B358" s="185" t="s">
        <v>976</v>
      </c>
      <c r="C358" s="186" t="s">
        <v>180</v>
      </c>
      <c r="D358" s="185">
        <v>0</v>
      </c>
      <c r="E358" s="185"/>
      <c r="F358" s="185">
        <v>4150</v>
      </c>
      <c r="G358" s="185" t="s">
        <v>512</v>
      </c>
      <c r="H358" s="187"/>
      <c r="I358" s="188"/>
      <c r="J358" s="189">
        <v>0.1</v>
      </c>
    </row>
    <row r="359" spans="1:10">
      <c r="A359" s="185" t="s">
        <v>977</v>
      </c>
      <c r="B359" s="185" t="s">
        <v>978</v>
      </c>
      <c r="C359" s="186" t="s">
        <v>180</v>
      </c>
      <c r="D359" s="185">
        <v>0</v>
      </c>
      <c r="E359" s="185"/>
      <c r="F359" s="185">
        <v>4150</v>
      </c>
      <c r="G359" s="185" t="s">
        <v>512</v>
      </c>
      <c r="H359" s="187"/>
      <c r="I359" s="188"/>
      <c r="J359" s="189">
        <v>10.5</v>
      </c>
    </row>
    <row r="360" spans="1:10">
      <c r="A360" s="185" t="s">
        <v>979</v>
      </c>
      <c r="B360" s="185" t="s">
        <v>980</v>
      </c>
      <c r="C360" s="186" t="s">
        <v>180</v>
      </c>
      <c r="D360" s="185">
        <v>0</v>
      </c>
      <c r="E360" s="185"/>
      <c r="F360" s="185">
        <v>4150</v>
      </c>
      <c r="G360" s="185" t="s">
        <v>512</v>
      </c>
      <c r="H360" s="187"/>
      <c r="I360" s="188"/>
      <c r="J360" s="189">
        <v>0</v>
      </c>
    </row>
    <row r="361" spans="1:10">
      <c r="A361" s="185" t="s">
        <v>981</v>
      </c>
      <c r="B361" s="185" t="s">
        <v>982</v>
      </c>
      <c r="C361" s="186" t="s">
        <v>180</v>
      </c>
      <c r="D361" s="185">
        <v>0</v>
      </c>
      <c r="E361" s="185"/>
      <c r="F361" s="185">
        <v>4150</v>
      </c>
      <c r="G361" s="185" t="s">
        <v>512</v>
      </c>
      <c r="H361" s="187"/>
      <c r="I361" s="188"/>
      <c r="J361" s="189">
        <v>0</v>
      </c>
    </row>
    <row r="362" spans="1:10">
      <c r="A362" s="185" t="s">
        <v>983</v>
      </c>
      <c r="B362" s="185" t="s">
        <v>984</v>
      </c>
      <c r="C362" s="186" t="s">
        <v>180</v>
      </c>
      <c r="D362" s="185">
        <v>0</v>
      </c>
      <c r="E362" s="185"/>
      <c r="F362" s="185">
        <v>2150</v>
      </c>
      <c r="G362" s="185" t="s">
        <v>352</v>
      </c>
      <c r="H362" s="187"/>
      <c r="I362" s="188"/>
      <c r="J362" s="189">
        <v>65</v>
      </c>
    </row>
    <row r="363" spans="1:10">
      <c r="A363" s="185" t="s">
        <v>985</v>
      </c>
      <c r="B363" s="185" t="s">
        <v>986</v>
      </c>
      <c r="C363" s="186" t="s">
        <v>180</v>
      </c>
      <c r="D363" s="185" t="s">
        <v>637</v>
      </c>
      <c r="E363" s="185"/>
      <c r="F363" s="185">
        <v>2150</v>
      </c>
      <c r="G363" s="185" t="s">
        <v>352</v>
      </c>
      <c r="H363" s="187"/>
      <c r="I363" s="188"/>
      <c r="J363" s="189">
        <v>91.6666666666667</v>
      </c>
    </row>
    <row r="364" spans="1:10">
      <c r="A364" s="185" t="s">
        <v>987</v>
      </c>
      <c r="B364" s="185" t="s">
        <v>988</v>
      </c>
      <c r="C364" s="186" t="s">
        <v>180</v>
      </c>
      <c r="D364" s="185">
        <v>0</v>
      </c>
      <c r="E364" s="185"/>
      <c r="F364" s="185">
        <v>4150</v>
      </c>
      <c r="G364" s="185" t="s">
        <v>512</v>
      </c>
      <c r="H364" s="187"/>
      <c r="I364" s="188"/>
      <c r="J364" s="189">
        <v>1.6142857142857101</v>
      </c>
    </row>
    <row r="365" spans="1:10">
      <c r="A365" s="185" t="s">
        <v>989</v>
      </c>
      <c r="B365" s="185" t="s">
        <v>990</v>
      </c>
      <c r="C365" s="186" t="s">
        <v>180</v>
      </c>
      <c r="D365" s="185">
        <v>0</v>
      </c>
      <c r="E365" s="185"/>
      <c r="F365" s="185">
        <v>4150</v>
      </c>
      <c r="G365" s="185" t="s">
        <v>512</v>
      </c>
      <c r="H365" s="187"/>
      <c r="I365" s="188"/>
      <c r="J365" s="189">
        <v>1.1571428571428599</v>
      </c>
    </row>
    <row r="366" spans="1:10">
      <c r="A366" s="185" t="s">
        <v>991</v>
      </c>
      <c r="B366" s="185" t="s">
        <v>992</v>
      </c>
      <c r="C366" s="186" t="s">
        <v>180</v>
      </c>
      <c r="D366" s="185">
        <v>0</v>
      </c>
      <c r="E366" s="185"/>
      <c r="F366" s="185">
        <v>4150</v>
      </c>
      <c r="G366" s="185" t="s">
        <v>347</v>
      </c>
      <c r="H366" s="187"/>
      <c r="I366" s="188"/>
      <c r="J366" s="189">
        <v>2.5</v>
      </c>
    </row>
    <row r="367" spans="1:10">
      <c r="A367" s="185" t="s">
        <v>993</v>
      </c>
      <c r="B367" s="185" t="s">
        <v>675</v>
      </c>
      <c r="C367" s="186" t="s">
        <v>176</v>
      </c>
      <c r="D367" s="185">
        <v>0</v>
      </c>
      <c r="E367" s="185" t="s">
        <v>365</v>
      </c>
      <c r="F367" s="185">
        <v>4100</v>
      </c>
      <c r="G367" s="185" t="s">
        <v>357</v>
      </c>
      <c r="H367" s="187"/>
      <c r="I367" s="188"/>
      <c r="J367" s="189">
        <v>0.55000000000000004</v>
      </c>
    </row>
    <row r="368" spans="1:10">
      <c r="A368" s="185" t="s">
        <v>994</v>
      </c>
      <c r="B368" s="185" t="s">
        <v>995</v>
      </c>
      <c r="C368" s="186" t="s">
        <v>180</v>
      </c>
      <c r="D368" s="185">
        <v>0</v>
      </c>
      <c r="E368" s="185"/>
      <c r="F368" s="185">
        <v>4150</v>
      </c>
      <c r="G368" s="185" t="s">
        <v>512</v>
      </c>
      <c r="H368" s="187"/>
      <c r="I368" s="188"/>
      <c r="J368" s="189">
        <v>166.185714285714</v>
      </c>
    </row>
    <row r="369" spans="1:10">
      <c r="A369" s="185" t="s">
        <v>996</v>
      </c>
      <c r="B369" s="185" t="s">
        <v>997</v>
      </c>
      <c r="C369" s="186" t="s">
        <v>180</v>
      </c>
      <c r="D369" s="185">
        <v>0</v>
      </c>
      <c r="E369" s="185"/>
      <c r="F369" s="185">
        <v>4150</v>
      </c>
      <c r="G369" s="185" t="s">
        <v>512</v>
      </c>
      <c r="H369" s="187"/>
      <c r="I369" s="188"/>
      <c r="J369" s="189">
        <v>874.78571428571399</v>
      </c>
    </row>
    <row r="370" spans="1:10">
      <c r="A370" s="185" t="s">
        <v>998</v>
      </c>
      <c r="B370" s="185" t="s">
        <v>999</v>
      </c>
      <c r="C370" s="186" t="s">
        <v>180</v>
      </c>
      <c r="D370" s="185">
        <v>0</v>
      </c>
      <c r="E370" s="185"/>
      <c r="F370" s="185">
        <v>4150</v>
      </c>
      <c r="G370" s="185" t="s">
        <v>512</v>
      </c>
      <c r="H370" s="187"/>
      <c r="I370" s="188"/>
      <c r="J370" s="189">
        <v>26.1428571428571</v>
      </c>
    </row>
    <row r="371" spans="1:10">
      <c r="A371" s="185" t="s">
        <v>1000</v>
      </c>
      <c r="B371" s="185" t="s">
        <v>1001</v>
      </c>
      <c r="C371" s="186" t="s">
        <v>180</v>
      </c>
      <c r="D371" s="185">
        <v>0</v>
      </c>
      <c r="E371" s="185"/>
      <c r="F371" s="185">
        <v>4150</v>
      </c>
      <c r="G371" s="185" t="s">
        <v>512</v>
      </c>
      <c r="H371" s="187"/>
      <c r="I371" s="188"/>
      <c r="J371" s="189">
        <v>0</v>
      </c>
    </row>
    <row r="372" spans="1:10">
      <c r="A372" s="185" t="s">
        <v>1002</v>
      </c>
      <c r="B372" s="185" t="s">
        <v>1003</v>
      </c>
      <c r="C372" s="186" t="s">
        <v>180</v>
      </c>
      <c r="D372" s="185">
        <v>0</v>
      </c>
      <c r="E372" s="185"/>
      <c r="F372" s="185">
        <v>4150</v>
      </c>
      <c r="G372" s="185" t="s">
        <v>512</v>
      </c>
      <c r="H372" s="187"/>
      <c r="I372" s="188"/>
      <c r="J372" s="189">
        <v>45.714285714285701</v>
      </c>
    </row>
    <row r="373" spans="1:10">
      <c r="A373" s="185" t="s">
        <v>1004</v>
      </c>
      <c r="B373" s="185" t="s">
        <v>1005</v>
      </c>
      <c r="C373" s="186" t="s">
        <v>176</v>
      </c>
      <c r="D373" s="185">
        <v>0</v>
      </c>
      <c r="E373" s="185"/>
      <c r="F373" s="185">
        <v>2150</v>
      </c>
      <c r="G373" s="185" t="s">
        <v>352</v>
      </c>
      <c r="H373" s="187"/>
      <c r="I373" s="188"/>
      <c r="J373" s="189">
        <v>0.4</v>
      </c>
    </row>
    <row r="374" spans="1:10">
      <c r="A374" s="185" t="s">
        <v>1006</v>
      </c>
      <c r="B374" s="185" t="s">
        <v>418</v>
      </c>
      <c r="C374" s="186" t="s">
        <v>176</v>
      </c>
      <c r="D374" s="185" t="s">
        <v>360</v>
      </c>
      <c r="E374" s="185" t="s">
        <v>336</v>
      </c>
      <c r="F374" s="185">
        <v>2100</v>
      </c>
      <c r="G374" s="185" t="s">
        <v>419</v>
      </c>
      <c r="H374" s="187"/>
      <c r="I374" s="188"/>
      <c r="J374" s="189">
        <v>0.3</v>
      </c>
    </row>
    <row r="375" spans="1:10">
      <c r="A375" s="185" t="s">
        <v>1007</v>
      </c>
      <c r="B375" s="185" t="s">
        <v>421</v>
      </c>
      <c r="C375" s="186" t="s">
        <v>176</v>
      </c>
      <c r="D375" s="185" t="s">
        <v>637</v>
      </c>
      <c r="E375" s="185" t="s">
        <v>336</v>
      </c>
      <c r="F375" s="185">
        <v>2100</v>
      </c>
      <c r="G375" s="185" t="s">
        <v>419</v>
      </c>
      <c r="H375" s="187"/>
      <c r="I375" s="188"/>
      <c r="J375" s="189">
        <v>0.3</v>
      </c>
    </row>
    <row r="376" spans="1:10">
      <c r="A376" s="185" t="s">
        <v>1008</v>
      </c>
      <c r="B376" s="185" t="s">
        <v>423</v>
      </c>
      <c r="C376" s="186" t="s">
        <v>176</v>
      </c>
      <c r="D376" s="185" t="s">
        <v>637</v>
      </c>
      <c r="E376" s="185"/>
      <c r="F376" s="185">
        <v>2100</v>
      </c>
      <c r="G376" s="185" t="s">
        <v>419</v>
      </c>
      <c r="H376" s="187"/>
      <c r="I376" s="188"/>
      <c r="J376" s="189">
        <v>0.3</v>
      </c>
    </row>
    <row r="377" spans="1:10">
      <c r="A377" s="185" t="s">
        <v>1009</v>
      </c>
      <c r="B377" s="185" t="s">
        <v>1010</v>
      </c>
      <c r="C377" s="186" t="s">
        <v>176</v>
      </c>
      <c r="D377" s="185" t="s">
        <v>637</v>
      </c>
      <c r="E377" s="185"/>
      <c r="F377" s="185">
        <v>2100</v>
      </c>
      <c r="G377" s="185" t="s">
        <v>419</v>
      </c>
      <c r="H377" s="187"/>
      <c r="I377" s="188"/>
      <c r="J377" s="189">
        <v>0.3</v>
      </c>
    </row>
    <row r="378" spans="1:10">
      <c r="A378" s="185" t="s">
        <v>1011</v>
      </c>
      <c r="B378" s="185" t="s">
        <v>1012</v>
      </c>
      <c r="C378" s="186" t="s">
        <v>180</v>
      </c>
      <c r="D378" s="185">
        <v>0</v>
      </c>
      <c r="E378" s="185"/>
      <c r="F378" s="185">
        <v>2150</v>
      </c>
      <c r="G378" s="185" t="s">
        <v>352</v>
      </c>
      <c r="H378" s="187"/>
      <c r="I378" s="188"/>
      <c r="J378" s="189">
        <v>0</v>
      </c>
    </row>
    <row r="379" spans="1:10">
      <c r="A379" s="185" t="s">
        <v>1013</v>
      </c>
      <c r="B379" s="185" t="s">
        <v>1014</v>
      </c>
      <c r="C379" s="186" t="s">
        <v>180</v>
      </c>
      <c r="D379" s="185" t="s">
        <v>360</v>
      </c>
      <c r="E379" s="185"/>
      <c r="F379" s="185">
        <v>2150</v>
      </c>
      <c r="G379" s="185" t="s">
        <v>352</v>
      </c>
      <c r="H379" s="187"/>
      <c r="I379" s="188"/>
      <c r="J379" s="189">
        <v>81.766666666666694</v>
      </c>
    </row>
    <row r="380" spans="1:10">
      <c r="A380" s="185" t="s">
        <v>1015</v>
      </c>
      <c r="B380" s="185" t="s">
        <v>1016</v>
      </c>
      <c r="C380" s="186" t="s">
        <v>180</v>
      </c>
      <c r="D380" s="185">
        <v>0</v>
      </c>
      <c r="E380" s="185"/>
      <c r="F380" s="185">
        <v>2150</v>
      </c>
      <c r="G380" s="185" t="s">
        <v>352</v>
      </c>
      <c r="H380" s="187"/>
      <c r="I380" s="188"/>
      <c r="J380" s="189">
        <v>8</v>
      </c>
    </row>
    <row r="381" spans="1:10">
      <c r="A381" s="185" t="s">
        <v>1017</v>
      </c>
      <c r="B381" s="185" t="s">
        <v>517</v>
      </c>
      <c r="C381" s="186" t="s">
        <v>180</v>
      </c>
      <c r="D381" s="185">
        <v>0</v>
      </c>
      <c r="E381" s="185"/>
      <c r="F381" s="185">
        <v>4150</v>
      </c>
      <c r="G381" s="185" t="s">
        <v>347</v>
      </c>
      <c r="H381" s="187"/>
      <c r="I381" s="188"/>
      <c r="J381" s="189">
        <v>0.81666666666666698</v>
      </c>
    </row>
    <row r="382" spans="1:10">
      <c r="A382" s="185" t="s">
        <v>1018</v>
      </c>
      <c r="B382" s="185" t="s">
        <v>1019</v>
      </c>
      <c r="C382" s="186" t="s">
        <v>180</v>
      </c>
      <c r="D382" s="185">
        <v>0</v>
      </c>
      <c r="E382" s="185"/>
      <c r="F382" s="185">
        <v>4150</v>
      </c>
      <c r="G382" s="185" t="s">
        <v>357</v>
      </c>
      <c r="H382" s="187"/>
      <c r="I382" s="188"/>
      <c r="J382" s="189">
        <v>118.933333333333</v>
      </c>
    </row>
    <row r="383" spans="1:10">
      <c r="A383" s="185" t="s">
        <v>1020</v>
      </c>
      <c r="B383" s="185" t="s">
        <v>1021</v>
      </c>
      <c r="C383" s="186" t="s">
        <v>180</v>
      </c>
      <c r="D383" s="185">
        <v>0</v>
      </c>
      <c r="E383" s="185"/>
      <c r="F383" s="185">
        <v>4150</v>
      </c>
      <c r="G383" s="185" t="s">
        <v>357</v>
      </c>
      <c r="H383" s="187"/>
      <c r="I383" s="188"/>
      <c r="J383" s="189">
        <v>210.02222222222201</v>
      </c>
    </row>
    <row r="384" spans="1:10">
      <c r="A384" s="185" t="s">
        <v>1022</v>
      </c>
      <c r="B384" s="185" t="s">
        <v>1023</v>
      </c>
      <c r="C384" s="186" t="s">
        <v>176</v>
      </c>
      <c r="D384" s="185">
        <v>0</v>
      </c>
      <c r="E384" s="185" t="s">
        <v>365</v>
      </c>
      <c r="F384" s="185">
        <v>2100</v>
      </c>
      <c r="G384" s="185" t="s">
        <v>419</v>
      </c>
      <c r="H384" s="187"/>
      <c r="I384" s="188"/>
      <c r="J384" s="189">
        <v>0.3</v>
      </c>
    </row>
    <row r="385" spans="1:10">
      <c r="A385" s="185" t="s">
        <v>1024</v>
      </c>
      <c r="B385" s="185" t="s">
        <v>1025</v>
      </c>
      <c r="C385" s="186" t="s">
        <v>176</v>
      </c>
      <c r="D385" s="185" t="s">
        <v>360</v>
      </c>
      <c r="E385" s="185" t="s">
        <v>365</v>
      </c>
      <c r="F385" s="185">
        <v>2100</v>
      </c>
      <c r="G385" s="185" t="s">
        <v>419</v>
      </c>
      <c r="H385" s="187"/>
      <c r="I385" s="188"/>
      <c r="J385" s="189">
        <v>0.3</v>
      </c>
    </row>
    <row r="386" spans="1:10">
      <c r="A386" s="185" t="s">
        <v>1026</v>
      </c>
      <c r="B386" s="185" t="s">
        <v>1027</v>
      </c>
      <c r="C386" s="186" t="s">
        <v>176</v>
      </c>
      <c r="D386" s="185">
        <v>0</v>
      </c>
      <c r="E386" s="185" t="s">
        <v>365</v>
      </c>
      <c r="F386" s="185">
        <v>2100</v>
      </c>
      <c r="G386" s="185" t="s">
        <v>419</v>
      </c>
      <c r="H386" s="187"/>
      <c r="I386" s="188"/>
      <c r="J386" s="189">
        <v>0.3</v>
      </c>
    </row>
    <row r="387" spans="1:10">
      <c r="A387" s="185" t="s">
        <v>1028</v>
      </c>
      <c r="B387" s="185" t="s">
        <v>1029</v>
      </c>
      <c r="C387" s="186" t="s">
        <v>180</v>
      </c>
      <c r="D387" s="185">
        <v>0</v>
      </c>
      <c r="E387" s="185"/>
      <c r="F387" s="185">
        <v>2150</v>
      </c>
      <c r="G387" s="185" t="s">
        <v>352</v>
      </c>
      <c r="H387" s="187"/>
      <c r="I387" s="188"/>
      <c r="J387" s="189">
        <v>0</v>
      </c>
    </row>
    <row r="388" spans="1:10">
      <c r="A388" s="185" t="s">
        <v>1030</v>
      </c>
      <c r="B388" s="185" t="s">
        <v>1031</v>
      </c>
      <c r="C388" s="186" t="s">
        <v>180</v>
      </c>
      <c r="D388" s="185">
        <v>0</v>
      </c>
      <c r="E388" s="185"/>
      <c r="F388" s="185">
        <v>2150</v>
      </c>
      <c r="G388" s="185" t="s">
        <v>352</v>
      </c>
      <c r="H388" s="187"/>
      <c r="I388" s="188"/>
      <c r="J388" s="189">
        <v>0</v>
      </c>
    </row>
    <row r="389" spans="1:10">
      <c r="A389" s="185" t="s">
        <v>1032</v>
      </c>
      <c r="B389" s="185" t="s">
        <v>1033</v>
      </c>
      <c r="C389" s="186" t="s">
        <v>180</v>
      </c>
      <c r="D389" s="185">
        <v>0</v>
      </c>
      <c r="E389" s="185"/>
      <c r="F389" s="185">
        <v>4150</v>
      </c>
      <c r="G389" s="185" t="s">
        <v>512</v>
      </c>
      <c r="H389" s="187"/>
      <c r="I389" s="188"/>
      <c r="J389" s="189">
        <v>0</v>
      </c>
    </row>
    <row r="390" spans="1:10">
      <c r="A390" s="185" t="s">
        <v>1034</v>
      </c>
      <c r="B390" s="185" t="s">
        <v>1035</v>
      </c>
      <c r="C390" s="186" t="s">
        <v>180</v>
      </c>
      <c r="D390" s="185">
        <v>0</v>
      </c>
      <c r="E390" s="185"/>
      <c r="F390" s="185">
        <v>4150</v>
      </c>
      <c r="G390" s="185" t="s">
        <v>512</v>
      </c>
      <c r="H390" s="187"/>
      <c r="I390" s="188"/>
      <c r="J390" s="189">
        <v>0</v>
      </c>
    </row>
    <row r="391" spans="1:10">
      <c r="A391" s="185" t="s">
        <v>1036</v>
      </c>
      <c r="B391" s="185" t="s">
        <v>1037</v>
      </c>
      <c r="C391" s="186" t="s">
        <v>180</v>
      </c>
      <c r="D391" s="185">
        <v>0</v>
      </c>
      <c r="E391" s="185"/>
      <c r="F391" s="185">
        <v>4150</v>
      </c>
      <c r="G391" s="185" t="s">
        <v>512</v>
      </c>
      <c r="H391" s="187"/>
      <c r="I391" s="188"/>
      <c r="J391" s="189">
        <v>0</v>
      </c>
    </row>
    <row r="392" spans="1:10">
      <c r="A392" s="185" t="s">
        <v>1038</v>
      </c>
      <c r="B392" s="185" t="s">
        <v>1039</v>
      </c>
      <c r="C392" s="186" t="s">
        <v>180</v>
      </c>
      <c r="D392" s="185">
        <v>0</v>
      </c>
      <c r="E392" s="185"/>
      <c r="F392" s="185">
        <v>4150</v>
      </c>
      <c r="G392" s="185" t="s">
        <v>512</v>
      </c>
      <c r="H392" s="187"/>
      <c r="I392" s="188"/>
      <c r="J392" s="189">
        <v>0</v>
      </c>
    </row>
    <row r="393" spans="1:10">
      <c r="A393" s="185" t="s">
        <v>1040</v>
      </c>
      <c r="B393" s="185" t="s">
        <v>1041</v>
      </c>
      <c r="C393" s="186" t="s">
        <v>180</v>
      </c>
      <c r="D393" s="185">
        <v>0</v>
      </c>
      <c r="E393" s="185"/>
      <c r="F393" s="185">
        <v>4150</v>
      </c>
      <c r="G393" s="185" t="s">
        <v>347</v>
      </c>
      <c r="H393" s="187"/>
      <c r="I393" s="188"/>
      <c r="J393" s="189">
        <v>0.48666666666666702</v>
      </c>
    </row>
    <row r="394" spans="1:10">
      <c r="A394" s="185" t="s">
        <v>1042</v>
      </c>
      <c r="B394" s="185" t="s">
        <v>721</v>
      </c>
      <c r="C394" s="186" t="s">
        <v>180</v>
      </c>
      <c r="D394" s="185">
        <v>0</v>
      </c>
      <c r="E394" s="185"/>
      <c r="F394" s="185">
        <v>2150</v>
      </c>
      <c r="G394" s="185" t="s">
        <v>352</v>
      </c>
      <c r="H394" s="187"/>
      <c r="I394" s="188"/>
      <c r="J394" s="189">
        <v>16.316666666666698</v>
      </c>
    </row>
    <row r="395" spans="1:10">
      <c r="A395" s="185" t="s">
        <v>1043</v>
      </c>
      <c r="B395" s="185" t="s">
        <v>723</v>
      </c>
      <c r="C395" s="186" t="s">
        <v>180</v>
      </c>
      <c r="D395" s="185">
        <v>0</v>
      </c>
      <c r="E395" s="185"/>
      <c r="F395" s="185">
        <v>2150</v>
      </c>
      <c r="G395" s="185" t="s">
        <v>352</v>
      </c>
      <c r="H395" s="187"/>
      <c r="I395" s="188"/>
      <c r="J395" s="189">
        <v>11.6666666666667</v>
      </c>
    </row>
    <row r="396" spans="1:10">
      <c r="A396" s="185" t="s">
        <v>1044</v>
      </c>
      <c r="B396" s="185" t="s">
        <v>1045</v>
      </c>
      <c r="C396" s="186" t="s">
        <v>180</v>
      </c>
      <c r="D396" s="185">
        <v>0</v>
      </c>
      <c r="E396" s="185"/>
      <c r="F396" s="185">
        <v>2150</v>
      </c>
      <c r="G396" s="185" t="s">
        <v>352</v>
      </c>
      <c r="H396" s="187"/>
      <c r="I396" s="188"/>
      <c r="J396" s="189">
        <v>0</v>
      </c>
    </row>
    <row r="397" spans="1:10">
      <c r="A397" s="185" t="s">
        <v>1046</v>
      </c>
      <c r="B397" s="185" t="s">
        <v>1047</v>
      </c>
      <c r="C397" s="186" t="s">
        <v>180</v>
      </c>
      <c r="D397" s="185">
        <v>0</v>
      </c>
      <c r="E397" s="185"/>
      <c r="F397" s="185">
        <v>4150</v>
      </c>
      <c r="G397" s="185" t="s">
        <v>374</v>
      </c>
      <c r="H397" s="187"/>
      <c r="I397" s="188"/>
      <c r="J397" s="189">
        <v>683.9</v>
      </c>
    </row>
    <row r="398" spans="1:10">
      <c r="A398" s="185" t="s">
        <v>1048</v>
      </c>
      <c r="B398" s="185" t="s">
        <v>1049</v>
      </c>
      <c r="C398" s="186" t="s">
        <v>180</v>
      </c>
      <c r="D398" s="185">
        <v>0</v>
      </c>
      <c r="E398" s="185"/>
      <c r="F398" s="185">
        <v>4150</v>
      </c>
      <c r="G398" s="185" t="s">
        <v>374</v>
      </c>
      <c r="H398" s="187"/>
      <c r="I398" s="188"/>
      <c r="J398" s="189">
        <v>37.285714285714299</v>
      </c>
    </row>
    <row r="399" spans="1:10">
      <c r="A399" s="185" t="s">
        <v>1050</v>
      </c>
      <c r="B399" s="185" t="s">
        <v>1051</v>
      </c>
      <c r="C399" s="186" t="s">
        <v>180</v>
      </c>
      <c r="D399" s="185">
        <v>0</v>
      </c>
      <c r="E399" s="185"/>
      <c r="F399" s="185">
        <v>4150</v>
      </c>
      <c r="G399" s="185" t="s">
        <v>374</v>
      </c>
      <c r="H399" s="187"/>
      <c r="I399" s="188"/>
      <c r="J399" s="189">
        <v>129.38571428571399</v>
      </c>
    </row>
    <row r="400" spans="1:10">
      <c r="A400" s="185" t="s">
        <v>1052</v>
      </c>
      <c r="B400" s="185" t="s">
        <v>1053</v>
      </c>
      <c r="C400" s="186" t="s">
        <v>180</v>
      </c>
      <c r="D400" s="185">
        <v>0</v>
      </c>
      <c r="E400" s="185"/>
      <c r="F400" s="185">
        <v>4150</v>
      </c>
      <c r="G400" s="185" t="s">
        <v>512</v>
      </c>
      <c r="H400" s="187"/>
      <c r="I400" s="188"/>
      <c r="J400" s="189">
        <v>307.142857142857</v>
      </c>
    </row>
    <row r="401" spans="1:10">
      <c r="A401" s="185" t="s">
        <v>1054</v>
      </c>
      <c r="B401" s="185" t="s">
        <v>1055</v>
      </c>
      <c r="C401" s="186" t="s">
        <v>180</v>
      </c>
      <c r="D401" s="185">
        <v>0</v>
      </c>
      <c r="E401" s="185"/>
      <c r="F401" s="185">
        <v>4150</v>
      </c>
      <c r="G401" s="185" t="s">
        <v>512</v>
      </c>
      <c r="H401" s="187"/>
      <c r="I401" s="188"/>
      <c r="J401" s="189">
        <v>0</v>
      </c>
    </row>
    <row r="402" spans="1:10">
      <c r="A402" s="185" t="s">
        <v>1056</v>
      </c>
      <c r="B402" s="185" t="s">
        <v>1057</v>
      </c>
      <c r="C402" s="186" t="s">
        <v>180</v>
      </c>
      <c r="D402" s="185">
        <v>0</v>
      </c>
      <c r="E402" s="185"/>
      <c r="F402" s="185">
        <v>4150</v>
      </c>
      <c r="G402" s="185" t="s">
        <v>512</v>
      </c>
      <c r="H402" s="187"/>
      <c r="I402" s="188"/>
      <c r="J402" s="189">
        <v>5.7714285714285696</v>
      </c>
    </row>
    <row r="403" spans="1:10">
      <c r="A403" s="185" t="s">
        <v>1058</v>
      </c>
      <c r="B403" s="185" t="s">
        <v>1059</v>
      </c>
      <c r="C403" s="186" t="s">
        <v>180</v>
      </c>
      <c r="D403" s="185">
        <v>0</v>
      </c>
      <c r="E403" s="185"/>
      <c r="F403" s="185">
        <v>4150</v>
      </c>
      <c r="G403" s="185" t="s">
        <v>512</v>
      </c>
      <c r="H403" s="187"/>
      <c r="I403" s="188"/>
      <c r="J403" s="189">
        <v>0.9</v>
      </c>
    </row>
    <row r="404" spans="1:10">
      <c r="A404" s="185" t="s">
        <v>1060</v>
      </c>
      <c r="B404" s="185" t="s">
        <v>1061</v>
      </c>
      <c r="C404" s="186" t="s">
        <v>180</v>
      </c>
      <c r="D404" s="185">
        <v>0</v>
      </c>
      <c r="E404" s="185"/>
      <c r="F404" s="185">
        <v>2150</v>
      </c>
      <c r="G404" s="185" t="s">
        <v>352</v>
      </c>
      <c r="H404" s="187"/>
      <c r="I404" s="188"/>
      <c r="J404" s="189">
        <v>8.6666666666666696</v>
      </c>
    </row>
    <row r="405" spans="1:10">
      <c r="A405" s="185" t="s">
        <v>1062</v>
      </c>
      <c r="B405" s="185" t="s">
        <v>1063</v>
      </c>
      <c r="C405" s="186" t="s">
        <v>180</v>
      </c>
      <c r="D405" s="185">
        <v>0</v>
      </c>
      <c r="E405" s="185"/>
      <c r="F405" s="185">
        <v>2150</v>
      </c>
      <c r="G405" s="185" t="s">
        <v>352</v>
      </c>
      <c r="H405" s="187"/>
      <c r="I405" s="188"/>
      <c r="J405" s="189">
        <v>23.0833333333333</v>
      </c>
    </row>
    <row r="406" spans="1:10">
      <c r="A406" s="185" t="s">
        <v>1064</v>
      </c>
      <c r="B406" s="185" t="s">
        <v>1065</v>
      </c>
      <c r="C406" s="186" t="s">
        <v>180</v>
      </c>
      <c r="D406" s="185">
        <v>0</v>
      </c>
      <c r="E406" s="185"/>
      <c r="F406" s="185">
        <v>2150</v>
      </c>
      <c r="G406" s="185" t="s">
        <v>352</v>
      </c>
      <c r="H406" s="187"/>
      <c r="I406" s="188"/>
      <c r="J406" s="189">
        <v>7.1666666666666696</v>
      </c>
    </row>
    <row r="407" spans="1:10">
      <c r="A407" s="185" t="s">
        <v>1066</v>
      </c>
      <c r="B407" s="185" t="s">
        <v>1067</v>
      </c>
      <c r="C407" s="186" t="s">
        <v>180</v>
      </c>
      <c r="D407" s="185">
        <v>0</v>
      </c>
      <c r="E407" s="185"/>
      <c r="F407" s="185">
        <v>4150</v>
      </c>
      <c r="G407" s="185" t="s">
        <v>347</v>
      </c>
      <c r="H407" s="187"/>
      <c r="I407" s="188"/>
      <c r="J407" s="189">
        <v>0.51666666666666705</v>
      </c>
    </row>
    <row r="408" spans="1:10">
      <c r="A408" s="185" t="s">
        <v>1068</v>
      </c>
      <c r="B408" s="185" t="s">
        <v>1069</v>
      </c>
      <c r="C408" s="186" t="s">
        <v>180</v>
      </c>
      <c r="D408" s="185">
        <v>0</v>
      </c>
      <c r="E408" s="185"/>
      <c r="F408" s="185">
        <v>4150</v>
      </c>
      <c r="G408" s="185" t="s">
        <v>357</v>
      </c>
      <c r="H408" s="187"/>
      <c r="I408" s="188"/>
      <c r="J408" s="189">
        <v>57.6666666666667</v>
      </c>
    </row>
    <row r="409" spans="1:10">
      <c r="A409" s="185" t="s">
        <v>1070</v>
      </c>
      <c r="B409" s="185" t="s">
        <v>1071</v>
      </c>
      <c r="C409" s="186" t="s">
        <v>180</v>
      </c>
      <c r="D409" s="185">
        <v>0</v>
      </c>
      <c r="E409" s="185"/>
      <c r="F409" s="185">
        <v>2150</v>
      </c>
      <c r="G409" s="185" t="s">
        <v>352</v>
      </c>
      <c r="H409" s="187"/>
      <c r="I409" s="188"/>
      <c r="J409" s="189">
        <v>17.5833333333333</v>
      </c>
    </row>
    <row r="410" spans="1:10">
      <c r="A410" s="185" t="s">
        <v>1072</v>
      </c>
      <c r="B410" s="185" t="s">
        <v>1073</v>
      </c>
      <c r="C410" s="186" t="s">
        <v>180</v>
      </c>
      <c r="D410" s="185" t="s">
        <v>360</v>
      </c>
      <c r="E410" s="185"/>
      <c r="F410" s="185">
        <v>2150</v>
      </c>
      <c r="G410" s="185" t="s">
        <v>352</v>
      </c>
      <c r="H410" s="187"/>
      <c r="I410" s="188"/>
      <c r="J410" s="189">
        <v>8.4666666666666703</v>
      </c>
    </row>
    <row r="411" spans="1:10">
      <c r="A411" s="185" t="s">
        <v>1074</v>
      </c>
      <c r="B411" s="185" t="s">
        <v>1075</v>
      </c>
      <c r="C411" s="186" t="s">
        <v>180</v>
      </c>
      <c r="D411" s="185" t="s">
        <v>360</v>
      </c>
      <c r="E411" s="185"/>
      <c r="F411" s="185">
        <v>2150</v>
      </c>
      <c r="G411" s="185" t="s">
        <v>352</v>
      </c>
      <c r="H411" s="187"/>
      <c r="I411" s="188"/>
      <c r="J411" s="189">
        <v>16.6666666666667</v>
      </c>
    </row>
    <row r="412" spans="1:10">
      <c r="A412" s="185" t="s">
        <v>1076</v>
      </c>
      <c r="B412" s="185" t="s">
        <v>1077</v>
      </c>
      <c r="C412" s="186" t="s">
        <v>180</v>
      </c>
      <c r="D412" s="185">
        <v>0</v>
      </c>
      <c r="E412" s="185"/>
      <c r="F412" s="185">
        <v>2150</v>
      </c>
      <c r="G412" s="185" t="s">
        <v>352</v>
      </c>
      <c r="H412" s="187"/>
      <c r="I412" s="188"/>
      <c r="J412" s="189">
        <v>5.25</v>
      </c>
    </row>
    <row r="413" spans="1:10">
      <c r="A413" s="185" t="s">
        <v>1078</v>
      </c>
      <c r="B413" s="185" t="s">
        <v>1079</v>
      </c>
      <c r="C413" s="186" t="s">
        <v>180</v>
      </c>
      <c r="D413" s="185">
        <v>0</v>
      </c>
      <c r="E413" s="185"/>
      <c r="F413" s="185">
        <v>2150</v>
      </c>
      <c r="G413" s="185" t="s">
        <v>352</v>
      </c>
      <c r="H413" s="187"/>
      <c r="I413" s="188"/>
      <c r="J413" s="189">
        <v>22.5</v>
      </c>
    </row>
    <row r="414" spans="1:10">
      <c r="A414" s="185" t="s">
        <v>1080</v>
      </c>
      <c r="B414" s="185" t="s">
        <v>1081</v>
      </c>
      <c r="C414" s="186" t="s">
        <v>180</v>
      </c>
      <c r="D414" s="185" t="s">
        <v>634</v>
      </c>
      <c r="E414" s="185"/>
      <c r="F414" s="185">
        <v>2150</v>
      </c>
      <c r="G414" s="185" t="s">
        <v>352</v>
      </c>
      <c r="H414" s="187"/>
      <c r="I414" s="188"/>
      <c r="J414" s="189">
        <v>14.8333333333333</v>
      </c>
    </row>
    <row r="415" spans="1:10">
      <c r="A415" s="185" t="s">
        <v>1082</v>
      </c>
      <c r="B415" s="185" t="s">
        <v>1083</v>
      </c>
      <c r="C415" s="186" t="s">
        <v>180</v>
      </c>
      <c r="D415" s="185" t="s">
        <v>637</v>
      </c>
      <c r="E415" s="185"/>
      <c r="F415" s="185">
        <v>2150</v>
      </c>
      <c r="G415" s="185" t="s">
        <v>352</v>
      </c>
      <c r="H415" s="187"/>
      <c r="I415" s="188"/>
      <c r="J415" s="189">
        <v>60</v>
      </c>
    </row>
    <row r="416" spans="1:10">
      <c r="A416" s="185" t="s">
        <v>1084</v>
      </c>
      <c r="B416" s="185" t="s">
        <v>1085</v>
      </c>
      <c r="C416" s="186" t="s">
        <v>176</v>
      </c>
      <c r="D416" s="185">
        <v>0</v>
      </c>
      <c r="E416" s="185"/>
      <c r="F416" s="185">
        <v>2100</v>
      </c>
      <c r="G416" s="185" t="s">
        <v>419</v>
      </c>
      <c r="H416" s="187"/>
      <c r="I416" s="188"/>
      <c r="J416" s="189">
        <v>0.3</v>
      </c>
    </row>
    <row r="417" spans="1:10">
      <c r="A417" s="185" t="s">
        <v>1086</v>
      </c>
      <c r="B417" s="185" t="s">
        <v>1087</v>
      </c>
      <c r="C417" s="186" t="s">
        <v>176</v>
      </c>
      <c r="D417" s="185">
        <v>0</v>
      </c>
      <c r="E417" s="185" t="s">
        <v>365</v>
      </c>
      <c r="F417" s="185">
        <v>2100</v>
      </c>
      <c r="G417" s="185" t="s">
        <v>419</v>
      </c>
      <c r="H417" s="187"/>
      <c r="I417" s="188"/>
      <c r="J417" s="189">
        <v>0.3</v>
      </c>
    </row>
    <row r="418" spans="1:10">
      <c r="A418" s="185" t="s">
        <v>1088</v>
      </c>
      <c r="B418" s="185" t="s">
        <v>1089</v>
      </c>
      <c r="C418" s="186" t="s">
        <v>180</v>
      </c>
      <c r="D418" s="185">
        <v>0</v>
      </c>
      <c r="E418" s="185"/>
      <c r="F418" s="185">
        <v>4150</v>
      </c>
      <c r="G418" s="185" t="s">
        <v>347</v>
      </c>
      <c r="H418" s="187"/>
      <c r="I418" s="188"/>
      <c r="J418" s="189">
        <v>2.4833333333333298</v>
      </c>
    </row>
    <row r="419" spans="1:10">
      <c r="A419" s="185" t="s">
        <v>1090</v>
      </c>
      <c r="B419" s="185" t="s">
        <v>1091</v>
      </c>
      <c r="C419" s="186" t="s">
        <v>180</v>
      </c>
      <c r="D419" s="185">
        <v>0</v>
      </c>
      <c r="E419" s="185"/>
      <c r="F419" s="185">
        <v>4150</v>
      </c>
      <c r="G419" s="185" t="s">
        <v>347</v>
      </c>
      <c r="H419" s="187"/>
      <c r="I419" s="188"/>
      <c r="J419" s="189">
        <v>0.483333333333333</v>
      </c>
    </row>
    <row r="420" spans="1:10">
      <c r="A420" s="185" t="s">
        <v>1092</v>
      </c>
      <c r="B420" s="185" t="s">
        <v>607</v>
      </c>
      <c r="C420" s="186" t="s">
        <v>180</v>
      </c>
      <c r="D420" s="185">
        <v>0</v>
      </c>
      <c r="E420" s="185"/>
      <c r="F420" s="185">
        <v>4150</v>
      </c>
      <c r="G420" s="185" t="s">
        <v>374</v>
      </c>
      <c r="H420" s="187"/>
      <c r="I420" s="188"/>
      <c r="J420" s="189">
        <v>0</v>
      </c>
    </row>
    <row r="421" spans="1:10">
      <c r="A421" s="185" t="s">
        <v>1093</v>
      </c>
      <c r="B421" s="185" t="s">
        <v>1094</v>
      </c>
      <c r="C421" s="186" t="s">
        <v>180</v>
      </c>
      <c r="D421" s="185">
        <v>0</v>
      </c>
      <c r="E421" s="185"/>
      <c r="F421" s="185">
        <v>4150</v>
      </c>
      <c r="G421" s="185" t="s">
        <v>1735</v>
      </c>
      <c r="H421" s="187"/>
      <c r="I421" s="188"/>
      <c r="J421" s="189">
        <v>120.87692307692301</v>
      </c>
    </row>
    <row r="422" spans="1:10">
      <c r="A422" s="185" t="s">
        <v>1095</v>
      </c>
      <c r="B422" s="185" t="s">
        <v>1096</v>
      </c>
      <c r="C422" s="186" t="s">
        <v>180</v>
      </c>
      <c r="D422" s="185">
        <v>0</v>
      </c>
      <c r="E422" s="185"/>
      <c r="F422" s="185">
        <v>4150</v>
      </c>
      <c r="G422" s="185" t="s">
        <v>347</v>
      </c>
      <c r="H422" s="187"/>
      <c r="I422" s="188"/>
      <c r="J422" s="189">
        <v>6.3</v>
      </c>
    </row>
    <row r="423" spans="1:10">
      <c r="A423" s="185" t="s">
        <v>1097</v>
      </c>
      <c r="B423" s="185" t="s">
        <v>1098</v>
      </c>
      <c r="C423" s="186" t="s">
        <v>180</v>
      </c>
      <c r="D423" s="185">
        <v>0</v>
      </c>
      <c r="E423" s="185"/>
      <c r="F423" s="185">
        <v>4150</v>
      </c>
      <c r="G423" s="185" t="s">
        <v>347</v>
      </c>
      <c r="H423" s="187"/>
      <c r="I423" s="188"/>
      <c r="J423" s="189">
        <v>6.3</v>
      </c>
    </row>
    <row r="424" spans="1:10">
      <c r="A424" s="185" t="s">
        <v>1099</v>
      </c>
      <c r="B424" s="185" t="s">
        <v>792</v>
      </c>
      <c r="C424" s="186" t="s">
        <v>180</v>
      </c>
      <c r="D424" s="185">
        <v>0</v>
      </c>
      <c r="E424" s="185"/>
      <c r="F424" s="185">
        <v>4150</v>
      </c>
      <c r="G424" s="185" t="s">
        <v>347</v>
      </c>
      <c r="H424" s="187"/>
      <c r="I424" s="188"/>
      <c r="J424" s="189">
        <v>4.56666666666667</v>
      </c>
    </row>
    <row r="425" spans="1:10">
      <c r="A425" s="185" t="s">
        <v>1100</v>
      </c>
      <c r="B425" s="185" t="s">
        <v>1101</v>
      </c>
      <c r="C425" s="186" t="s">
        <v>180</v>
      </c>
      <c r="D425" s="185">
        <v>0</v>
      </c>
      <c r="E425" s="185"/>
      <c r="F425" s="185">
        <v>4150</v>
      </c>
      <c r="G425" s="185" t="s">
        <v>419</v>
      </c>
      <c r="H425" s="187"/>
      <c r="I425" s="188"/>
      <c r="J425" s="189">
        <v>15.757142857142901</v>
      </c>
    </row>
    <row r="426" spans="1:10">
      <c r="A426" s="185" t="s">
        <v>1102</v>
      </c>
      <c r="B426" s="185" t="s">
        <v>1103</v>
      </c>
      <c r="C426" s="186" t="s">
        <v>180</v>
      </c>
      <c r="D426" s="185">
        <v>0</v>
      </c>
      <c r="E426" s="185"/>
      <c r="F426" s="185">
        <v>4150</v>
      </c>
      <c r="G426" s="185" t="s">
        <v>374</v>
      </c>
      <c r="H426" s="187"/>
      <c r="I426" s="188"/>
      <c r="J426" s="189">
        <v>24.214285714285701</v>
      </c>
    </row>
    <row r="427" spans="1:10">
      <c r="A427" s="185" t="s">
        <v>1104</v>
      </c>
      <c r="B427" s="185" t="s">
        <v>1105</v>
      </c>
      <c r="C427" s="186" t="s">
        <v>180</v>
      </c>
      <c r="D427" s="185">
        <v>0</v>
      </c>
      <c r="E427" s="185"/>
      <c r="F427" s="185">
        <v>4150</v>
      </c>
      <c r="G427" s="185" t="s">
        <v>347</v>
      </c>
      <c r="H427" s="187"/>
      <c r="I427" s="188"/>
      <c r="J427" s="189">
        <v>1.35</v>
      </c>
    </row>
    <row r="428" spans="1:10">
      <c r="A428" s="185" t="s">
        <v>1106</v>
      </c>
      <c r="B428" s="185" t="s">
        <v>1107</v>
      </c>
      <c r="C428" s="186" t="s">
        <v>180</v>
      </c>
      <c r="D428" s="185">
        <v>0</v>
      </c>
      <c r="E428" s="185"/>
      <c r="F428" s="185">
        <v>4150</v>
      </c>
      <c r="G428" s="185" t="s">
        <v>347</v>
      </c>
      <c r="H428" s="187"/>
      <c r="I428" s="188"/>
      <c r="J428" s="189">
        <v>0.83333333333333304</v>
      </c>
    </row>
    <row r="429" spans="1:10">
      <c r="A429" s="185" t="s">
        <v>1108</v>
      </c>
      <c r="B429" s="185" t="s">
        <v>1109</v>
      </c>
      <c r="C429" s="186" t="s">
        <v>180</v>
      </c>
      <c r="D429" s="185">
        <v>0</v>
      </c>
      <c r="E429" s="185"/>
      <c r="F429" s="185">
        <v>4150</v>
      </c>
      <c r="G429" s="185" t="s">
        <v>347</v>
      </c>
      <c r="H429" s="187"/>
      <c r="I429" s="188"/>
      <c r="J429" s="189">
        <v>2.0499999999999998</v>
      </c>
    </row>
    <row r="430" spans="1:10">
      <c r="A430" s="185" t="s">
        <v>1110</v>
      </c>
      <c r="B430" s="185" t="s">
        <v>1111</v>
      </c>
      <c r="C430" s="186" t="s">
        <v>180</v>
      </c>
      <c r="D430" s="185">
        <v>0</v>
      </c>
      <c r="E430" s="185"/>
      <c r="F430" s="185">
        <v>4150</v>
      </c>
      <c r="G430" s="185" t="s">
        <v>347</v>
      </c>
      <c r="H430" s="187"/>
      <c r="I430" s="188"/>
      <c r="J430" s="189">
        <v>0.61666666666666703</v>
      </c>
    </row>
    <row r="431" spans="1:10">
      <c r="A431" s="185" t="s">
        <v>1112</v>
      </c>
      <c r="B431" s="185" t="s">
        <v>1113</v>
      </c>
      <c r="C431" s="186" t="s">
        <v>180</v>
      </c>
      <c r="D431" s="185" t="s">
        <v>360</v>
      </c>
      <c r="E431" s="185"/>
      <c r="F431" s="185">
        <v>2150</v>
      </c>
      <c r="G431" s="185" t="s">
        <v>352</v>
      </c>
      <c r="H431" s="187"/>
      <c r="I431" s="188"/>
      <c r="J431" s="189">
        <v>5.4166666666666696</v>
      </c>
    </row>
    <row r="432" spans="1:10">
      <c r="A432" s="185" t="s">
        <v>1114</v>
      </c>
      <c r="B432" s="185" t="s">
        <v>1115</v>
      </c>
      <c r="C432" s="186" t="s">
        <v>180</v>
      </c>
      <c r="D432" s="185">
        <v>0</v>
      </c>
      <c r="E432" s="185"/>
      <c r="F432" s="185">
        <v>4150</v>
      </c>
      <c r="G432" s="185" t="s">
        <v>347</v>
      </c>
      <c r="H432" s="187"/>
      <c r="I432" s="188"/>
      <c r="J432" s="189">
        <v>0.36666666666666697</v>
      </c>
    </row>
    <row r="433" spans="1:10">
      <c r="A433" s="185" t="s">
        <v>1116</v>
      </c>
      <c r="B433" s="185" t="s">
        <v>1117</v>
      </c>
      <c r="C433" s="186" t="s">
        <v>180</v>
      </c>
      <c r="D433" s="185">
        <v>0</v>
      </c>
      <c r="E433" s="185"/>
      <c r="F433" s="185">
        <v>2150</v>
      </c>
      <c r="G433" s="185" t="s">
        <v>352</v>
      </c>
      <c r="H433" s="187"/>
      <c r="I433" s="188"/>
      <c r="J433" s="189">
        <v>67.0833333333333</v>
      </c>
    </row>
    <row r="434" spans="1:10">
      <c r="A434" s="185" t="s">
        <v>1118</v>
      </c>
      <c r="B434" s="185" t="s">
        <v>1119</v>
      </c>
      <c r="C434" s="186" t="s">
        <v>180</v>
      </c>
      <c r="D434" s="185" t="s">
        <v>360</v>
      </c>
      <c r="E434" s="185"/>
      <c r="F434" s="185">
        <v>4150</v>
      </c>
      <c r="G434" s="185" t="s">
        <v>512</v>
      </c>
      <c r="H434" s="187"/>
      <c r="I434" s="188"/>
      <c r="J434" s="189">
        <v>0</v>
      </c>
    </row>
    <row r="435" spans="1:10">
      <c r="A435" s="185" t="s">
        <v>1120</v>
      </c>
      <c r="B435" s="185" t="s">
        <v>1121</v>
      </c>
      <c r="C435" s="186" t="s">
        <v>180</v>
      </c>
      <c r="D435" s="185">
        <v>0</v>
      </c>
      <c r="E435" s="185"/>
      <c r="F435" s="185">
        <v>4150</v>
      </c>
      <c r="G435" s="185" t="s">
        <v>347</v>
      </c>
      <c r="H435" s="187"/>
      <c r="I435" s="188"/>
      <c r="J435" s="189">
        <v>15.216666666666701</v>
      </c>
    </row>
    <row r="436" spans="1:10">
      <c r="A436" s="185" t="s">
        <v>1122</v>
      </c>
      <c r="B436" s="185" t="s">
        <v>1123</v>
      </c>
      <c r="C436" s="186" t="s">
        <v>180</v>
      </c>
      <c r="D436" s="185">
        <v>0</v>
      </c>
      <c r="E436" s="185"/>
      <c r="F436" s="185">
        <v>4150</v>
      </c>
      <c r="G436" s="185" t="s">
        <v>347</v>
      </c>
      <c r="H436" s="187"/>
      <c r="I436" s="188"/>
      <c r="J436" s="189">
        <v>19.866666666666699</v>
      </c>
    </row>
    <row r="437" spans="1:10">
      <c r="A437" s="185" t="s">
        <v>1124</v>
      </c>
      <c r="B437" s="185" t="s">
        <v>1125</v>
      </c>
      <c r="C437" s="186" t="s">
        <v>176</v>
      </c>
      <c r="D437" s="185">
        <v>0</v>
      </c>
      <c r="E437" s="185"/>
      <c r="F437" s="185">
        <v>2100</v>
      </c>
      <c r="G437" s="185" t="s">
        <v>419</v>
      </c>
      <c r="H437" s="187"/>
      <c r="I437" s="188"/>
      <c r="J437" s="189">
        <v>0.3</v>
      </c>
    </row>
    <row r="438" spans="1:10">
      <c r="A438" s="185" t="s">
        <v>1126</v>
      </c>
      <c r="B438" s="185" t="s">
        <v>1127</v>
      </c>
      <c r="C438" s="186" t="s">
        <v>176</v>
      </c>
      <c r="D438" s="185">
        <v>0</v>
      </c>
      <c r="E438" s="185"/>
      <c r="F438" s="185">
        <v>2100</v>
      </c>
      <c r="G438" s="185" t="s">
        <v>419</v>
      </c>
      <c r="H438" s="187"/>
      <c r="I438" s="188"/>
      <c r="J438" s="189">
        <v>0.3</v>
      </c>
    </row>
    <row r="439" spans="1:10">
      <c r="A439" s="185" t="s">
        <v>1128</v>
      </c>
      <c r="B439" s="185" t="s">
        <v>1129</v>
      </c>
      <c r="C439" s="186" t="s">
        <v>176</v>
      </c>
      <c r="D439" s="185">
        <v>0</v>
      </c>
      <c r="E439" s="185"/>
      <c r="F439" s="185">
        <v>2100</v>
      </c>
      <c r="G439" s="185" t="s">
        <v>419</v>
      </c>
      <c r="H439" s="187"/>
      <c r="I439" s="188"/>
      <c r="J439" s="189">
        <v>0.3</v>
      </c>
    </row>
    <row r="440" spans="1:10">
      <c r="A440" s="185" t="s">
        <v>1130</v>
      </c>
      <c r="B440" s="185" t="s">
        <v>811</v>
      </c>
      <c r="C440" s="186" t="s">
        <v>176</v>
      </c>
      <c r="D440" s="185">
        <v>0</v>
      </c>
      <c r="E440" s="185"/>
      <c r="F440" s="185">
        <v>2100</v>
      </c>
      <c r="G440" s="185" t="s">
        <v>419</v>
      </c>
      <c r="H440" s="187"/>
      <c r="I440" s="188"/>
      <c r="J440" s="189">
        <v>0.3</v>
      </c>
    </row>
    <row r="441" spans="1:10">
      <c r="A441" s="185" t="s">
        <v>1131</v>
      </c>
      <c r="B441" s="185" t="s">
        <v>1132</v>
      </c>
      <c r="C441" s="186" t="s">
        <v>180</v>
      </c>
      <c r="D441" s="185">
        <v>0</v>
      </c>
      <c r="E441" s="185"/>
      <c r="F441" s="185">
        <v>4150</v>
      </c>
      <c r="G441" s="185" t="s">
        <v>512</v>
      </c>
      <c r="H441" s="187"/>
      <c r="I441" s="188"/>
      <c r="J441" s="189">
        <v>0</v>
      </c>
    </row>
    <row r="442" spans="1:10">
      <c r="A442" s="185" t="s">
        <v>1133</v>
      </c>
      <c r="B442" s="185" t="s">
        <v>1132</v>
      </c>
      <c r="C442" s="186" t="s">
        <v>180</v>
      </c>
      <c r="D442" s="185">
        <v>0</v>
      </c>
      <c r="E442" s="185"/>
      <c r="F442" s="185">
        <v>4150</v>
      </c>
      <c r="G442" s="185" t="s">
        <v>512</v>
      </c>
      <c r="H442" s="187"/>
      <c r="I442" s="188"/>
      <c r="J442" s="189">
        <v>0</v>
      </c>
    </row>
    <row r="443" spans="1:10">
      <c r="A443" s="185" t="s">
        <v>1134</v>
      </c>
      <c r="B443" s="185" t="s">
        <v>1135</v>
      </c>
      <c r="C443" s="186" t="s">
        <v>180</v>
      </c>
      <c r="D443" s="185">
        <v>0</v>
      </c>
      <c r="E443" s="185"/>
      <c r="F443" s="185">
        <v>4150</v>
      </c>
      <c r="G443" s="185" t="s">
        <v>512</v>
      </c>
      <c r="H443" s="187"/>
      <c r="I443" s="188"/>
      <c r="J443" s="189">
        <v>0</v>
      </c>
    </row>
    <row r="444" spans="1:10">
      <c r="A444" s="185" t="s">
        <v>1136</v>
      </c>
      <c r="B444" s="185" t="s">
        <v>1132</v>
      </c>
      <c r="C444" s="186" t="s">
        <v>180</v>
      </c>
      <c r="D444" s="185">
        <v>0</v>
      </c>
      <c r="E444" s="185"/>
      <c r="F444" s="185">
        <v>4150</v>
      </c>
      <c r="G444" s="185" t="s">
        <v>512</v>
      </c>
      <c r="H444" s="187"/>
      <c r="I444" s="188"/>
      <c r="J444" s="189">
        <v>0</v>
      </c>
    </row>
    <row r="445" spans="1:10">
      <c r="A445" s="185" t="s">
        <v>1137</v>
      </c>
      <c r="B445" s="185" t="s">
        <v>1135</v>
      </c>
      <c r="C445" s="186" t="s">
        <v>180</v>
      </c>
      <c r="D445" s="185">
        <v>0</v>
      </c>
      <c r="E445" s="185"/>
      <c r="F445" s="185">
        <v>4150</v>
      </c>
      <c r="G445" s="185" t="s">
        <v>512</v>
      </c>
      <c r="H445" s="187"/>
      <c r="I445" s="188"/>
      <c r="J445" s="189">
        <v>0</v>
      </c>
    </row>
    <row r="446" spans="1:10">
      <c r="A446" s="185" t="s">
        <v>1138</v>
      </c>
      <c r="B446" s="185" t="s">
        <v>1135</v>
      </c>
      <c r="C446" s="186" t="s">
        <v>180</v>
      </c>
      <c r="D446" s="185">
        <v>0</v>
      </c>
      <c r="E446" s="185"/>
      <c r="F446" s="185">
        <v>4150</v>
      </c>
      <c r="G446" s="185" t="s">
        <v>512</v>
      </c>
      <c r="H446" s="187"/>
      <c r="I446" s="188"/>
      <c r="J446" s="189">
        <v>0</v>
      </c>
    </row>
    <row r="447" spans="1:10">
      <c r="A447" s="185" t="s">
        <v>1139</v>
      </c>
      <c r="B447" s="185" t="s">
        <v>1135</v>
      </c>
      <c r="C447" s="186" t="s">
        <v>180</v>
      </c>
      <c r="D447" s="185">
        <v>0</v>
      </c>
      <c r="E447" s="185"/>
      <c r="F447" s="185">
        <v>4150</v>
      </c>
      <c r="G447" s="185" t="s">
        <v>512</v>
      </c>
      <c r="H447" s="187"/>
      <c r="I447" s="188"/>
      <c r="J447" s="189">
        <v>0</v>
      </c>
    </row>
    <row r="448" spans="1:10">
      <c r="A448" s="185" t="s">
        <v>1140</v>
      </c>
      <c r="B448" s="185" t="s">
        <v>1141</v>
      </c>
      <c r="C448" s="186" t="s">
        <v>180</v>
      </c>
      <c r="D448" s="185">
        <v>0</v>
      </c>
      <c r="E448" s="185"/>
      <c r="F448" s="185">
        <v>4150</v>
      </c>
      <c r="G448" s="185" t="s">
        <v>512</v>
      </c>
      <c r="H448" s="187"/>
      <c r="I448" s="188"/>
      <c r="J448" s="189">
        <v>0</v>
      </c>
    </row>
    <row r="449" spans="1:10">
      <c r="A449" s="185" t="s">
        <v>1142</v>
      </c>
      <c r="B449" s="185" t="s">
        <v>1143</v>
      </c>
      <c r="C449" s="186" t="s">
        <v>180</v>
      </c>
      <c r="D449" s="185">
        <v>0</v>
      </c>
      <c r="E449" s="185"/>
      <c r="F449" s="185">
        <v>4150</v>
      </c>
      <c r="G449" s="185" t="s">
        <v>347</v>
      </c>
      <c r="H449" s="187"/>
      <c r="I449" s="188"/>
      <c r="J449" s="189">
        <v>0.133333333333333</v>
      </c>
    </row>
    <row r="450" spans="1:10">
      <c r="A450" s="185" t="s">
        <v>1144</v>
      </c>
      <c r="B450" s="185" t="s">
        <v>1145</v>
      </c>
      <c r="C450" s="186" t="s">
        <v>180</v>
      </c>
      <c r="D450" s="185">
        <v>0</v>
      </c>
      <c r="E450" s="185"/>
      <c r="F450" s="185">
        <v>4150</v>
      </c>
      <c r="G450" s="185" t="s">
        <v>347</v>
      </c>
      <c r="H450" s="187"/>
      <c r="I450" s="188"/>
      <c r="J450" s="189">
        <v>0.15</v>
      </c>
    </row>
    <row r="451" spans="1:10">
      <c r="A451" s="185" t="s">
        <v>1146</v>
      </c>
      <c r="B451" s="185" t="s">
        <v>1147</v>
      </c>
      <c r="C451" s="186" t="s">
        <v>180</v>
      </c>
      <c r="D451" s="185">
        <v>0</v>
      </c>
      <c r="E451" s="185"/>
      <c r="F451" s="185">
        <v>4150</v>
      </c>
      <c r="G451" s="185" t="s">
        <v>347</v>
      </c>
      <c r="H451" s="187"/>
      <c r="I451" s="188"/>
      <c r="J451" s="189">
        <v>0.133333333333333</v>
      </c>
    </row>
    <row r="452" spans="1:10">
      <c r="A452" s="185" t="s">
        <v>1148</v>
      </c>
      <c r="B452" s="185" t="s">
        <v>1149</v>
      </c>
      <c r="C452" s="186" t="s">
        <v>180</v>
      </c>
      <c r="D452" s="185">
        <v>0</v>
      </c>
      <c r="E452" s="185"/>
      <c r="F452" s="185">
        <v>4150</v>
      </c>
      <c r="G452" s="185" t="s">
        <v>512</v>
      </c>
      <c r="H452" s="187"/>
      <c r="I452" s="188"/>
      <c r="J452" s="189">
        <v>13.257142857142901</v>
      </c>
    </row>
    <row r="453" spans="1:10">
      <c r="A453" s="185" t="s">
        <v>1150</v>
      </c>
      <c r="B453" s="185" t="s">
        <v>1151</v>
      </c>
      <c r="C453" s="186" t="s">
        <v>180</v>
      </c>
      <c r="D453" s="185">
        <v>0</v>
      </c>
      <c r="E453" s="185"/>
      <c r="F453" s="185">
        <v>4150</v>
      </c>
      <c r="G453" s="185" t="s">
        <v>357</v>
      </c>
      <c r="H453" s="187"/>
      <c r="I453" s="188"/>
      <c r="J453" s="189">
        <v>128.555555555556</v>
      </c>
    </row>
    <row r="454" spans="1:10">
      <c r="A454" s="185" t="s">
        <v>1152</v>
      </c>
      <c r="B454" s="185" t="s">
        <v>1153</v>
      </c>
      <c r="C454" s="186" t="s">
        <v>180</v>
      </c>
      <c r="D454" s="185">
        <v>0</v>
      </c>
      <c r="E454" s="185"/>
      <c r="F454" s="185">
        <v>4150</v>
      </c>
      <c r="G454" s="185" t="s">
        <v>357</v>
      </c>
      <c r="H454" s="187"/>
      <c r="I454" s="188"/>
      <c r="J454" s="189">
        <v>53.7777777777778</v>
      </c>
    </row>
    <row r="455" spans="1:10">
      <c r="A455" s="185" t="s">
        <v>1154</v>
      </c>
      <c r="B455" s="185" t="s">
        <v>1155</v>
      </c>
      <c r="C455" s="186" t="s">
        <v>180</v>
      </c>
      <c r="D455" s="185">
        <v>0</v>
      </c>
      <c r="E455" s="185"/>
      <c r="F455" s="185">
        <v>4150</v>
      </c>
      <c r="G455" s="185" t="s">
        <v>419</v>
      </c>
      <c r="H455" s="187"/>
      <c r="I455" s="188"/>
      <c r="J455" s="189">
        <v>0</v>
      </c>
    </row>
    <row r="456" spans="1:10">
      <c r="A456" s="185" t="s">
        <v>1156</v>
      </c>
      <c r="B456" s="185" t="s">
        <v>1157</v>
      </c>
      <c r="C456" s="186" t="s">
        <v>180</v>
      </c>
      <c r="D456" s="185">
        <v>0</v>
      </c>
      <c r="E456" s="185"/>
      <c r="F456" s="185">
        <v>4150</v>
      </c>
      <c r="G456" s="185" t="s">
        <v>419</v>
      </c>
      <c r="H456" s="187"/>
      <c r="I456" s="188"/>
      <c r="J456" s="189">
        <v>0</v>
      </c>
    </row>
    <row r="457" spans="1:10">
      <c r="A457" s="185" t="s">
        <v>1158</v>
      </c>
      <c r="B457" s="185" t="s">
        <v>1159</v>
      </c>
      <c r="C457" s="186" t="s">
        <v>180</v>
      </c>
      <c r="D457" s="185">
        <v>0</v>
      </c>
      <c r="E457" s="185"/>
      <c r="F457" s="185">
        <v>4150</v>
      </c>
      <c r="G457" s="185" t="s">
        <v>419</v>
      </c>
      <c r="H457" s="187"/>
      <c r="I457" s="188"/>
      <c r="J457" s="189">
        <v>0</v>
      </c>
    </row>
    <row r="458" spans="1:10">
      <c r="A458" s="185" t="s">
        <v>1160</v>
      </c>
      <c r="B458" s="185" t="s">
        <v>1161</v>
      </c>
      <c r="C458" s="186" t="s">
        <v>180</v>
      </c>
      <c r="D458" s="185">
        <v>0</v>
      </c>
      <c r="E458" s="185"/>
      <c r="F458" s="185">
        <v>4150</v>
      </c>
      <c r="G458" s="185" t="s">
        <v>419</v>
      </c>
      <c r="H458" s="187"/>
      <c r="I458" s="188"/>
      <c r="J458" s="189">
        <v>0</v>
      </c>
    </row>
    <row r="459" spans="1:10">
      <c r="A459" s="185" t="s">
        <v>1162</v>
      </c>
      <c r="B459" s="185" t="s">
        <v>1163</v>
      </c>
      <c r="C459" s="186" t="s">
        <v>180</v>
      </c>
      <c r="D459" s="185">
        <v>0</v>
      </c>
      <c r="E459" s="185"/>
      <c r="F459" s="185">
        <v>4150</v>
      </c>
      <c r="G459" s="185" t="s">
        <v>419</v>
      </c>
      <c r="H459" s="187"/>
      <c r="I459" s="188"/>
      <c r="J459" s="189">
        <v>0</v>
      </c>
    </row>
    <row r="460" spans="1:10">
      <c r="A460" s="185" t="s">
        <v>1164</v>
      </c>
      <c r="B460" s="185" t="s">
        <v>1165</v>
      </c>
      <c r="C460" s="186" t="s">
        <v>180</v>
      </c>
      <c r="D460" s="185">
        <v>0</v>
      </c>
      <c r="E460" s="185"/>
      <c r="F460" s="185">
        <v>4150</v>
      </c>
      <c r="G460" s="185" t="s">
        <v>419</v>
      </c>
      <c r="H460" s="187"/>
      <c r="I460" s="188"/>
      <c r="J460" s="189">
        <v>0</v>
      </c>
    </row>
    <row r="461" spans="1:10">
      <c r="A461" s="185" t="s">
        <v>1166</v>
      </c>
      <c r="B461" s="185" t="s">
        <v>1167</v>
      </c>
      <c r="C461" s="186" t="s">
        <v>180</v>
      </c>
      <c r="D461" s="185">
        <v>0</v>
      </c>
      <c r="E461" s="185"/>
      <c r="F461" s="185">
        <v>4150</v>
      </c>
      <c r="G461" s="185" t="s">
        <v>419</v>
      </c>
      <c r="H461" s="187"/>
      <c r="I461" s="188"/>
      <c r="J461" s="189">
        <v>0</v>
      </c>
    </row>
    <row r="462" spans="1:10">
      <c r="A462" s="185" t="s">
        <v>1168</v>
      </c>
      <c r="B462" s="185" t="s">
        <v>1169</v>
      </c>
      <c r="C462" s="186" t="s">
        <v>180</v>
      </c>
      <c r="D462" s="185">
        <v>0</v>
      </c>
      <c r="E462" s="185"/>
      <c r="F462" s="185">
        <v>2150</v>
      </c>
      <c r="G462" s="185" t="s">
        <v>352</v>
      </c>
      <c r="H462" s="187"/>
      <c r="I462" s="188"/>
      <c r="J462" s="189">
        <v>117.716666666667</v>
      </c>
    </row>
    <row r="463" spans="1:10">
      <c r="A463" s="185" t="s">
        <v>1170</v>
      </c>
      <c r="B463" s="185" t="s">
        <v>1171</v>
      </c>
      <c r="C463" s="186" t="s">
        <v>180</v>
      </c>
      <c r="D463" s="185">
        <v>0</v>
      </c>
      <c r="E463" s="185"/>
      <c r="F463" s="185">
        <v>2150</v>
      </c>
      <c r="G463" s="185" t="s">
        <v>352</v>
      </c>
      <c r="H463" s="187"/>
      <c r="I463" s="188"/>
      <c r="J463" s="189">
        <v>102.083333333333</v>
      </c>
    </row>
    <row r="464" spans="1:10">
      <c r="A464" s="185" t="s">
        <v>1172</v>
      </c>
      <c r="B464" s="185" t="s">
        <v>1173</v>
      </c>
      <c r="C464" s="186" t="s">
        <v>180</v>
      </c>
      <c r="D464" s="185">
        <v>0</v>
      </c>
      <c r="E464" s="185"/>
      <c r="F464" s="185">
        <v>2150</v>
      </c>
      <c r="G464" s="185" t="s">
        <v>352</v>
      </c>
      <c r="H464" s="187"/>
      <c r="I464" s="188"/>
      <c r="J464" s="189">
        <v>142.71666666666701</v>
      </c>
    </row>
    <row r="465" spans="1:10">
      <c r="A465" s="185" t="s">
        <v>1174</v>
      </c>
      <c r="B465" s="185" t="s">
        <v>1175</v>
      </c>
      <c r="C465" s="186" t="s">
        <v>180</v>
      </c>
      <c r="D465" s="185">
        <v>0</v>
      </c>
      <c r="E465" s="185"/>
      <c r="F465" s="185">
        <v>2150</v>
      </c>
      <c r="G465" s="185" t="s">
        <v>352</v>
      </c>
      <c r="H465" s="187"/>
      <c r="I465" s="188"/>
      <c r="J465" s="189">
        <v>0</v>
      </c>
    </row>
    <row r="466" spans="1:10">
      <c r="A466" s="185" t="s">
        <v>1176</v>
      </c>
      <c r="B466" s="185" t="s">
        <v>1177</v>
      </c>
      <c r="C466" s="186" t="s">
        <v>180</v>
      </c>
      <c r="D466" s="185">
        <v>0</v>
      </c>
      <c r="E466" s="185"/>
      <c r="F466" s="185">
        <v>4150</v>
      </c>
      <c r="G466" s="185" t="s">
        <v>512</v>
      </c>
      <c r="H466" s="187"/>
      <c r="I466" s="188"/>
      <c r="J466" s="189">
        <v>0</v>
      </c>
    </row>
    <row r="467" spans="1:10">
      <c r="A467" s="185" t="s">
        <v>1178</v>
      </c>
      <c r="B467" s="185" t="s">
        <v>1179</v>
      </c>
      <c r="C467" s="186" t="s">
        <v>180</v>
      </c>
      <c r="D467" s="185" t="s">
        <v>360</v>
      </c>
      <c r="E467" s="185"/>
      <c r="F467" s="185">
        <v>2150</v>
      </c>
      <c r="G467" s="185" t="s">
        <v>352</v>
      </c>
      <c r="H467" s="187"/>
      <c r="I467" s="188"/>
      <c r="J467" s="189">
        <v>7.05</v>
      </c>
    </row>
    <row r="468" spans="1:10">
      <c r="A468" s="185" t="s">
        <v>1180</v>
      </c>
      <c r="B468" s="185" t="s">
        <v>1181</v>
      </c>
      <c r="C468" s="186" t="s">
        <v>180</v>
      </c>
      <c r="D468" s="185">
        <v>0</v>
      </c>
      <c r="E468" s="185"/>
      <c r="F468" s="185">
        <v>2150</v>
      </c>
      <c r="G468" s="185" t="s">
        <v>352</v>
      </c>
      <c r="H468" s="187"/>
      <c r="I468" s="188"/>
      <c r="J468" s="189">
        <v>6.6</v>
      </c>
    </row>
    <row r="469" spans="1:10">
      <c r="A469" s="185" t="s">
        <v>1182</v>
      </c>
      <c r="B469" s="185" t="s">
        <v>1183</v>
      </c>
      <c r="C469" s="186" t="s">
        <v>180</v>
      </c>
      <c r="D469" s="185">
        <v>0</v>
      </c>
      <c r="E469" s="185"/>
      <c r="F469" s="185">
        <v>4150</v>
      </c>
      <c r="G469" s="185" t="s">
        <v>512</v>
      </c>
      <c r="H469" s="187"/>
      <c r="I469" s="188"/>
      <c r="J469" s="189">
        <v>0</v>
      </c>
    </row>
    <row r="470" spans="1:10">
      <c r="A470" s="185" t="s">
        <v>1184</v>
      </c>
      <c r="B470" s="185" t="s">
        <v>1185</v>
      </c>
      <c r="C470" s="186" t="s">
        <v>180</v>
      </c>
      <c r="D470" s="185">
        <v>0</v>
      </c>
      <c r="E470" s="185"/>
      <c r="F470" s="185">
        <v>4150</v>
      </c>
      <c r="G470" s="185" t="s">
        <v>512</v>
      </c>
      <c r="H470" s="187"/>
      <c r="I470" s="188"/>
      <c r="J470" s="189">
        <v>2.28571428571429</v>
      </c>
    </row>
    <row r="471" spans="1:10">
      <c r="A471" s="185" t="s">
        <v>1186</v>
      </c>
      <c r="B471" s="185" t="s">
        <v>1187</v>
      </c>
      <c r="C471" s="186" t="s">
        <v>180</v>
      </c>
      <c r="D471" s="185">
        <v>0</v>
      </c>
      <c r="E471" s="185"/>
      <c r="F471" s="185">
        <v>4150</v>
      </c>
      <c r="G471" s="185" t="s">
        <v>512</v>
      </c>
      <c r="H471" s="187"/>
      <c r="I471" s="188"/>
      <c r="J471" s="189">
        <v>10.6142857142857</v>
      </c>
    </row>
    <row r="472" spans="1:10">
      <c r="A472" s="185" t="s">
        <v>1188</v>
      </c>
      <c r="B472" s="185" t="s">
        <v>1189</v>
      </c>
      <c r="C472" s="186" t="s">
        <v>180</v>
      </c>
      <c r="D472" s="185">
        <v>0</v>
      </c>
      <c r="E472" s="185"/>
      <c r="F472" s="185">
        <v>4150</v>
      </c>
      <c r="G472" s="185" t="s">
        <v>512</v>
      </c>
      <c r="H472" s="187"/>
      <c r="I472" s="188"/>
      <c r="J472" s="189">
        <v>7.3142857142857096</v>
      </c>
    </row>
    <row r="473" spans="1:10">
      <c r="A473" s="185" t="s">
        <v>1190</v>
      </c>
      <c r="B473" s="185" t="s">
        <v>1191</v>
      </c>
      <c r="C473" s="186" t="s">
        <v>180</v>
      </c>
      <c r="D473" s="185">
        <v>0</v>
      </c>
      <c r="E473" s="185"/>
      <c r="F473" s="185">
        <v>4150</v>
      </c>
      <c r="G473" s="185" t="s">
        <v>512</v>
      </c>
      <c r="H473" s="187"/>
      <c r="I473" s="188"/>
      <c r="J473" s="189">
        <v>11.1142857142857</v>
      </c>
    </row>
    <row r="474" spans="1:10">
      <c r="A474" s="185" t="s">
        <v>1192</v>
      </c>
      <c r="B474" s="185" t="s">
        <v>1193</v>
      </c>
      <c r="C474" s="186" t="s">
        <v>180</v>
      </c>
      <c r="D474" s="185">
        <v>0</v>
      </c>
      <c r="E474" s="185"/>
      <c r="F474" s="185">
        <v>4150</v>
      </c>
      <c r="G474" s="185" t="s">
        <v>512</v>
      </c>
      <c r="H474" s="187"/>
      <c r="I474" s="188"/>
      <c r="J474" s="189">
        <v>9.5428571428571392</v>
      </c>
    </row>
    <row r="475" spans="1:10">
      <c r="A475" s="185" t="s">
        <v>1194</v>
      </c>
      <c r="B475" s="185" t="s">
        <v>1195</v>
      </c>
      <c r="C475" s="186" t="s">
        <v>180</v>
      </c>
      <c r="D475" s="185">
        <v>0</v>
      </c>
      <c r="E475" s="185"/>
      <c r="F475" s="185">
        <v>4150</v>
      </c>
      <c r="G475" s="185" t="s">
        <v>512</v>
      </c>
      <c r="H475" s="187"/>
      <c r="I475" s="188"/>
      <c r="J475" s="189">
        <v>0</v>
      </c>
    </row>
    <row r="476" spans="1:10">
      <c r="A476" s="185" t="s">
        <v>1196</v>
      </c>
      <c r="B476" s="185" t="s">
        <v>1197</v>
      </c>
      <c r="C476" s="186" t="s">
        <v>180</v>
      </c>
      <c r="D476" s="185">
        <v>0</v>
      </c>
      <c r="E476" s="185"/>
      <c r="F476" s="185">
        <v>4150</v>
      </c>
      <c r="G476" s="185" t="s">
        <v>512</v>
      </c>
      <c r="H476" s="187"/>
      <c r="I476" s="188"/>
      <c r="J476" s="189">
        <v>1</v>
      </c>
    </row>
    <row r="477" spans="1:10">
      <c r="A477" s="185" t="s">
        <v>1198</v>
      </c>
      <c r="B477" s="185" t="s">
        <v>1199</v>
      </c>
      <c r="C477" s="186" t="s">
        <v>180</v>
      </c>
      <c r="D477" s="185">
        <v>0</v>
      </c>
      <c r="E477" s="185"/>
      <c r="F477" s="185">
        <v>4150</v>
      </c>
      <c r="G477" s="185" t="s">
        <v>512</v>
      </c>
      <c r="H477" s="187"/>
      <c r="I477" s="188"/>
      <c r="J477" s="189">
        <v>0.48571428571428599</v>
      </c>
    </row>
    <row r="478" spans="1:10">
      <c r="A478" s="185" t="s">
        <v>1200</v>
      </c>
      <c r="B478" s="185" t="s">
        <v>1201</v>
      </c>
      <c r="C478" s="186" t="s">
        <v>180</v>
      </c>
      <c r="D478" s="185">
        <v>0</v>
      </c>
      <c r="E478" s="185"/>
      <c r="F478" s="185">
        <v>4150</v>
      </c>
      <c r="G478" s="185" t="s">
        <v>512</v>
      </c>
      <c r="H478" s="187"/>
      <c r="I478" s="188"/>
      <c r="J478" s="189">
        <v>8.3428571428571399</v>
      </c>
    </row>
    <row r="479" spans="1:10">
      <c r="A479" s="185" t="s">
        <v>1202</v>
      </c>
      <c r="B479" s="185" t="s">
        <v>1203</v>
      </c>
      <c r="C479" s="186" t="s">
        <v>180</v>
      </c>
      <c r="D479" s="185">
        <v>0</v>
      </c>
      <c r="E479" s="185"/>
      <c r="F479" s="185">
        <v>4150</v>
      </c>
      <c r="G479" s="185" t="s">
        <v>512</v>
      </c>
      <c r="H479" s="187"/>
      <c r="I479" s="188"/>
      <c r="J479" s="189">
        <v>8.1999999999999993</v>
      </c>
    </row>
    <row r="480" spans="1:10">
      <c r="A480" s="185" t="s">
        <v>1204</v>
      </c>
      <c r="B480" s="185" t="s">
        <v>1205</v>
      </c>
      <c r="C480" s="186" t="s">
        <v>180</v>
      </c>
      <c r="D480" s="185">
        <v>0</v>
      </c>
      <c r="E480" s="185"/>
      <c r="F480" s="185">
        <v>4150</v>
      </c>
      <c r="G480" s="185" t="s">
        <v>512</v>
      </c>
      <c r="H480" s="187"/>
      <c r="I480" s="188"/>
      <c r="J480" s="189">
        <v>74.014285714285705</v>
      </c>
    </row>
    <row r="481" spans="1:10">
      <c r="A481" s="185" t="s">
        <v>1206</v>
      </c>
      <c r="B481" s="185" t="s">
        <v>1207</v>
      </c>
      <c r="C481" s="186" t="s">
        <v>180</v>
      </c>
      <c r="D481" s="185">
        <v>0</v>
      </c>
      <c r="E481" s="185"/>
      <c r="F481" s="185">
        <v>4150</v>
      </c>
      <c r="G481" s="185" t="s">
        <v>512</v>
      </c>
      <c r="H481" s="187"/>
      <c r="I481" s="188"/>
      <c r="J481" s="189">
        <v>0</v>
      </c>
    </row>
    <row r="482" spans="1:10">
      <c r="A482" s="185" t="s">
        <v>1208</v>
      </c>
      <c r="B482" s="185" t="s">
        <v>1209</v>
      </c>
      <c r="C482" s="186" t="s">
        <v>180</v>
      </c>
      <c r="D482" s="185">
        <v>0</v>
      </c>
      <c r="E482" s="185"/>
      <c r="F482" s="185">
        <v>4150</v>
      </c>
      <c r="G482" s="185" t="s">
        <v>512</v>
      </c>
      <c r="H482" s="187"/>
      <c r="I482" s="188"/>
      <c r="J482" s="189">
        <v>0.55714285714285705</v>
      </c>
    </row>
    <row r="483" spans="1:10">
      <c r="A483" s="185" t="s">
        <v>1210</v>
      </c>
      <c r="B483" s="185" t="s">
        <v>1211</v>
      </c>
      <c r="C483" s="186" t="s">
        <v>180</v>
      </c>
      <c r="D483" s="185" t="s">
        <v>637</v>
      </c>
      <c r="E483" s="185"/>
      <c r="F483" s="185">
        <v>2150</v>
      </c>
      <c r="G483" s="185" t="s">
        <v>352</v>
      </c>
      <c r="H483" s="187"/>
      <c r="I483" s="188"/>
      <c r="J483" s="189">
        <v>95.9</v>
      </c>
    </row>
    <row r="484" spans="1:10">
      <c r="A484" s="185" t="s">
        <v>1212</v>
      </c>
      <c r="B484" s="185" t="s">
        <v>1213</v>
      </c>
      <c r="C484" s="186" t="s">
        <v>180</v>
      </c>
      <c r="D484" s="185">
        <v>0</v>
      </c>
      <c r="E484" s="185"/>
      <c r="F484" s="185">
        <v>2150</v>
      </c>
      <c r="G484" s="185" t="s">
        <v>352</v>
      </c>
      <c r="H484" s="187"/>
      <c r="I484" s="188"/>
      <c r="J484" s="189">
        <v>28.3333333333333</v>
      </c>
    </row>
    <row r="485" spans="1:10">
      <c r="A485" s="185" t="s">
        <v>1214</v>
      </c>
      <c r="B485" s="185" t="s">
        <v>1215</v>
      </c>
      <c r="C485" s="186" t="s">
        <v>180</v>
      </c>
      <c r="D485" s="185">
        <v>0</v>
      </c>
      <c r="E485" s="185"/>
      <c r="F485" s="185">
        <v>2150</v>
      </c>
      <c r="G485" s="185" t="s">
        <v>352</v>
      </c>
      <c r="H485" s="187"/>
      <c r="I485" s="188"/>
      <c r="J485" s="189">
        <v>5.9166666666666696</v>
      </c>
    </row>
    <row r="486" spans="1:10">
      <c r="A486" s="185" t="s">
        <v>1216</v>
      </c>
      <c r="B486" s="185" t="s">
        <v>1217</v>
      </c>
      <c r="C486" s="186" t="s">
        <v>180</v>
      </c>
      <c r="D486" s="185">
        <v>0</v>
      </c>
      <c r="E486" s="185"/>
      <c r="F486" s="185">
        <v>4150</v>
      </c>
      <c r="G486" s="185" t="s">
        <v>347</v>
      </c>
      <c r="H486" s="187"/>
      <c r="I486" s="188"/>
      <c r="J486" s="189">
        <v>16.466666666666701</v>
      </c>
    </row>
    <row r="487" spans="1:10">
      <c r="A487" s="185" t="s">
        <v>1218</v>
      </c>
      <c r="B487" s="185" t="s">
        <v>1219</v>
      </c>
      <c r="C487" s="186" t="s">
        <v>180</v>
      </c>
      <c r="D487" s="185">
        <v>0</v>
      </c>
      <c r="E487" s="185"/>
      <c r="F487" s="185">
        <v>4150</v>
      </c>
      <c r="G487" s="185" t="s">
        <v>512</v>
      </c>
      <c r="H487" s="187"/>
      <c r="I487" s="188"/>
      <c r="J487" s="189">
        <v>0</v>
      </c>
    </row>
    <row r="488" spans="1:10">
      <c r="A488" s="185" t="s">
        <v>1220</v>
      </c>
      <c r="B488" s="185" t="s">
        <v>1221</v>
      </c>
      <c r="C488" s="186" t="s">
        <v>180</v>
      </c>
      <c r="D488" s="185">
        <v>0</v>
      </c>
      <c r="E488" s="185"/>
      <c r="F488" s="185">
        <v>4150</v>
      </c>
      <c r="G488" s="185" t="s">
        <v>512</v>
      </c>
      <c r="H488" s="187"/>
      <c r="I488" s="188"/>
      <c r="J488" s="189">
        <v>0</v>
      </c>
    </row>
    <row r="489" spans="1:10">
      <c r="A489" s="185" t="s">
        <v>1222</v>
      </c>
      <c r="B489" s="185" t="s">
        <v>1223</v>
      </c>
      <c r="C489" s="186" t="s">
        <v>180</v>
      </c>
      <c r="D489" s="185">
        <v>0</v>
      </c>
      <c r="E489" s="185"/>
      <c r="F489" s="185">
        <v>4150</v>
      </c>
      <c r="G489" s="185" t="s">
        <v>512</v>
      </c>
      <c r="H489" s="187"/>
      <c r="I489" s="188"/>
      <c r="J489" s="189">
        <v>0</v>
      </c>
    </row>
    <row r="490" spans="1:10">
      <c r="A490" s="185" t="s">
        <v>1224</v>
      </c>
      <c r="B490" s="185" t="s">
        <v>1225</v>
      </c>
      <c r="C490" s="186" t="s">
        <v>180</v>
      </c>
      <c r="D490" s="185">
        <v>0</v>
      </c>
      <c r="E490" s="185"/>
      <c r="F490" s="185">
        <v>4150</v>
      </c>
      <c r="G490" s="185" t="s">
        <v>512</v>
      </c>
      <c r="H490" s="187"/>
      <c r="I490" s="188"/>
      <c r="J490" s="189">
        <v>0</v>
      </c>
    </row>
    <row r="491" spans="1:10">
      <c r="A491" s="185" t="s">
        <v>1226</v>
      </c>
      <c r="B491" s="185" t="s">
        <v>1227</v>
      </c>
      <c r="C491" s="186" t="s">
        <v>180</v>
      </c>
      <c r="D491" s="185">
        <v>0</v>
      </c>
      <c r="E491" s="185"/>
      <c r="F491" s="185">
        <v>4150</v>
      </c>
      <c r="G491" s="185" t="s">
        <v>512</v>
      </c>
      <c r="H491" s="187"/>
      <c r="I491" s="188"/>
      <c r="J491" s="189">
        <v>0</v>
      </c>
    </row>
    <row r="492" spans="1:10">
      <c r="A492" s="185" t="s">
        <v>1228</v>
      </c>
      <c r="B492" s="185" t="s">
        <v>1229</v>
      </c>
      <c r="C492" s="186" t="s">
        <v>180</v>
      </c>
      <c r="D492" s="185">
        <v>0</v>
      </c>
      <c r="E492" s="185"/>
      <c r="F492" s="185">
        <v>4150</v>
      </c>
      <c r="G492" s="185" t="s">
        <v>512</v>
      </c>
      <c r="H492" s="187"/>
      <c r="I492" s="188"/>
      <c r="J492" s="189">
        <v>0</v>
      </c>
    </row>
    <row r="493" spans="1:10">
      <c r="A493" s="185" t="s">
        <v>1230</v>
      </c>
      <c r="B493" s="185" t="s">
        <v>669</v>
      </c>
      <c r="C493" s="186" t="s">
        <v>180</v>
      </c>
      <c r="D493" s="185">
        <v>0</v>
      </c>
      <c r="E493" s="185"/>
      <c r="F493" s="185">
        <v>4150</v>
      </c>
      <c r="G493" s="185" t="s">
        <v>512</v>
      </c>
      <c r="H493" s="187"/>
      <c r="I493" s="188"/>
      <c r="J493" s="189">
        <v>0</v>
      </c>
    </row>
    <row r="494" spans="1:10">
      <c r="A494" s="185" t="s">
        <v>1231</v>
      </c>
      <c r="B494" s="185" t="s">
        <v>1232</v>
      </c>
      <c r="C494" s="186" t="s">
        <v>180</v>
      </c>
      <c r="D494" s="185">
        <v>0</v>
      </c>
      <c r="E494" s="185"/>
      <c r="F494" s="185">
        <v>4150</v>
      </c>
      <c r="G494" s="185" t="s">
        <v>347</v>
      </c>
      <c r="H494" s="187"/>
      <c r="I494" s="188"/>
      <c r="J494" s="189">
        <v>9.5500000000000007</v>
      </c>
    </row>
    <row r="495" spans="1:10">
      <c r="A495" s="185" t="s">
        <v>1233</v>
      </c>
      <c r="B495" s="185" t="s">
        <v>968</v>
      </c>
      <c r="C495" s="186" t="s">
        <v>180</v>
      </c>
      <c r="D495" s="185">
        <v>0</v>
      </c>
      <c r="E495" s="185"/>
      <c r="F495" s="185">
        <v>4150</v>
      </c>
      <c r="G495" s="185" t="s">
        <v>512</v>
      </c>
      <c r="H495" s="187"/>
      <c r="I495" s="188"/>
      <c r="J495" s="189">
        <v>0</v>
      </c>
    </row>
    <row r="496" spans="1:10">
      <c r="A496" s="185" t="s">
        <v>1234</v>
      </c>
      <c r="B496" s="185" t="s">
        <v>1235</v>
      </c>
      <c r="C496" s="186" t="s">
        <v>180</v>
      </c>
      <c r="D496" s="185">
        <v>0</v>
      </c>
      <c r="E496" s="185"/>
      <c r="F496" s="185">
        <v>4150</v>
      </c>
      <c r="G496" s="185" t="s">
        <v>512</v>
      </c>
      <c r="H496" s="187"/>
      <c r="I496" s="188"/>
      <c r="J496" s="189">
        <v>0</v>
      </c>
    </row>
    <row r="497" spans="1:10">
      <c r="A497" s="185" t="s">
        <v>1236</v>
      </c>
      <c r="B497" s="185" t="s">
        <v>968</v>
      </c>
      <c r="C497" s="186" t="s">
        <v>180</v>
      </c>
      <c r="D497" s="185">
        <v>0</v>
      </c>
      <c r="E497" s="185"/>
      <c r="F497" s="185">
        <v>4150</v>
      </c>
      <c r="G497" s="185" t="s">
        <v>512</v>
      </c>
      <c r="H497" s="187"/>
      <c r="I497" s="188"/>
      <c r="J497" s="189">
        <v>0</v>
      </c>
    </row>
    <row r="498" spans="1:10">
      <c r="A498" s="185" t="s">
        <v>1237</v>
      </c>
      <c r="B498" s="185" t="s">
        <v>1238</v>
      </c>
      <c r="C498" s="186" t="s">
        <v>180</v>
      </c>
      <c r="D498" s="185">
        <v>0</v>
      </c>
      <c r="E498" s="185"/>
      <c r="F498" s="185">
        <v>4150</v>
      </c>
      <c r="G498" s="185" t="s">
        <v>512</v>
      </c>
      <c r="H498" s="187"/>
      <c r="I498" s="188"/>
      <c r="J498" s="189">
        <v>0</v>
      </c>
    </row>
    <row r="499" spans="1:10">
      <c r="A499" s="185" t="s">
        <v>1239</v>
      </c>
      <c r="B499" s="185" t="s">
        <v>1240</v>
      </c>
      <c r="C499" s="186" t="s">
        <v>180</v>
      </c>
      <c r="D499" s="185">
        <v>0</v>
      </c>
      <c r="E499" s="185"/>
      <c r="F499" s="185">
        <v>2150</v>
      </c>
      <c r="G499" s="185" t="s">
        <v>352</v>
      </c>
      <c r="H499" s="187"/>
      <c r="I499" s="188"/>
      <c r="J499" s="189">
        <v>33.3333333333333</v>
      </c>
    </row>
    <row r="500" spans="1:10">
      <c r="A500" s="185" t="s">
        <v>1241</v>
      </c>
      <c r="B500" s="185" t="s">
        <v>1242</v>
      </c>
      <c r="C500" s="186" t="s">
        <v>180</v>
      </c>
      <c r="D500" s="185" t="s">
        <v>360</v>
      </c>
      <c r="E500" s="185"/>
      <c r="F500" s="185">
        <v>2150</v>
      </c>
      <c r="G500" s="185" t="s">
        <v>352</v>
      </c>
      <c r="H500" s="187"/>
      <c r="I500" s="188"/>
      <c r="J500" s="189">
        <v>26.75</v>
      </c>
    </row>
    <row r="501" spans="1:10">
      <c r="A501" s="185" t="s">
        <v>1243</v>
      </c>
      <c r="B501" s="185" t="s">
        <v>1244</v>
      </c>
      <c r="C501" s="186" t="s">
        <v>180</v>
      </c>
      <c r="D501" s="185">
        <v>0</v>
      </c>
      <c r="E501" s="185"/>
      <c r="F501" s="185">
        <v>4150</v>
      </c>
      <c r="G501" s="185" t="s">
        <v>512</v>
      </c>
      <c r="H501" s="187"/>
      <c r="I501" s="188"/>
      <c r="J501" s="189">
        <v>0</v>
      </c>
    </row>
    <row r="502" spans="1:10">
      <c r="A502" s="185" t="s">
        <v>1245</v>
      </c>
      <c r="B502" s="185" t="s">
        <v>1246</v>
      </c>
      <c r="C502" s="186" t="s">
        <v>180</v>
      </c>
      <c r="D502" s="185" t="s">
        <v>360</v>
      </c>
      <c r="E502" s="185"/>
      <c r="F502" s="185">
        <v>2150</v>
      </c>
      <c r="G502" s="185" t="s">
        <v>352</v>
      </c>
      <c r="H502" s="187"/>
      <c r="I502" s="188"/>
      <c r="J502" s="189">
        <v>24.5833333333333</v>
      </c>
    </row>
    <row r="503" spans="1:10">
      <c r="A503" s="185" t="s">
        <v>1247</v>
      </c>
      <c r="B503" s="185" t="s">
        <v>1248</v>
      </c>
      <c r="C503" s="186" t="s">
        <v>180</v>
      </c>
      <c r="D503" s="185">
        <v>0</v>
      </c>
      <c r="E503" s="185"/>
      <c r="F503" s="185">
        <v>4150</v>
      </c>
      <c r="G503" s="185" t="s">
        <v>347</v>
      </c>
      <c r="H503" s="187"/>
      <c r="I503" s="188"/>
      <c r="J503" s="189">
        <v>2.8833333333333302</v>
      </c>
    </row>
    <row r="504" spans="1:10">
      <c r="A504" s="185" t="s">
        <v>1249</v>
      </c>
      <c r="B504" s="185" t="s">
        <v>1248</v>
      </c>
      <c r="C504" s="186" t="s">
        <v>180</v>
      </c>
      <c r="D504" s="185">
        <v>0</v>
      </c>
      <c r="E504" s="185"/>
      <c r="F504" s="185">
        <v>4150</v>
      </c>
      <c r="G504" s="185" t="s">
        <v>347</v>
      </c>
      <c r="H504" s="187"/>
      <c r="I504" s="188"/>
      <c r="J504" s="189">
        <v>4.2333333333333298</v>
      </c>
    </row>
    <row r="505" spans="1:10">
      <c r="A505" s="185" t="s">
        <v>1250</v>
      </c>
      <c r="B505" s="185" t="s">
        <v>1251</v>
      </c>
      <c r="C505" s="186" t="s">
        <v>180</v>
      </c>
      <c r="D505" s="185">
        <v>0</v>
      </c>
      <c r="E505" s="185"/>
      <c r="F505" s="185">
        <v>4150</v>
      </c>
      <c r="G505" s="185" t="s">
        <v>347</v>
      </c>
      <c r="H505" s="187"/>
      <c r="I505" s="188"/>
      <c r="J505" s="189">
        <v>0.36666666666666697</v>
      </c>
    </row>
    <row r="506" spans="1:10">
      <c r="A506" s="185" t="s">
        <v>1252</v>
      </c>
      <c r="B506" s="185" t="s">
        <v>1253</v>
      </c>
      <c r="C506" s="186" t="s">
        <v>180</v>
      </c>
      <c r="D506" s="185">
        <v>0</v>
      </c>
      <c r="E506" s="185"/>
      <c r="F506" s="185">
        <v>4150</v>
      </c>
      <c r="G506" s="185" t="s">
        <v>347</v>
      </c>
      <c r="H506" s="187"/>
      <c r="I506" s="188"/>
      <c r="J506" s="189">
        <v>0.483333333333333</v>
      </c>
    </row>
    <row r="507" spans="1:10">
      <c r="A507" s="185" t="s">
        <v>1254</v>
      </c>
      <c r="B507" s="185" t="s">
        <v>1255</v>
      </c>
      <c r="C507" s="186" t="s">
        <v>180</v>
      </c>
      <c r="D507" s="185">
        <v>0</v>
      </c>
      <c r="E507" s="185"/>
      <c r="F507" s="185">
        <v>2150</v>
      </c>
      <c r="G507" s="185" t="s">
        <v>352</v>
      </c>
      <c r="H507" s="187"/>
      <c r="I507" s="188"/>
      <c r="J507" s="189">
        <v>1.9</v>
      </c>
    </row>
    <row r="508" spans="1:10">
      <c r="A508" s="185" t="s">
        <v>1256</v>
      </c>
      <c r="B508" s="185" t="s">
        <v>1257</v>
      </c>
      <c r="C508" s="186" t="s">
        <v>180</v>
      </c>
      <c r="D508" s="185">
        <v>0</v>
      </c>
      <c r="E508" s="185"/>
      <c r="F508" s="185">
        <v>4150</v>
      </c>
      <c r="G508" s="185" t="s">
        <v>357</v>
      </c>
      <c r="H508" s="187"/>
      <c r="I508" s="188"/>
      <c r="J508" s="189">
        <v>320.28888888888901</v>
      </c>
    </row>
    <row r="509" spans="1:10">
      <c r="A509" s="185" t="s">
        <v>1258</v>
      </c>
      <c r="B509" s="185" t="s">
        <v>1201</v>
      </c>
      <c r="C509" s="186" t="s">
        <v>180</v>
      </c>
      <c r="D509" s="185">
        <v>0</v>
      </c>
      <c r="E509" s="185"/>
      <c r="F509" s="185">
        <v>4150</v>
      </c>
      <c r="G509" s="185" t="s">
        <v>512</v>
      </c>
      <c r="H509" s="187"/>
      <c r="I509" s="188"/>
      <c r="J509" s="189">
        <v>0</v>
      </c>
    </row>
    <row r="510" spans="1:10">
      <c r="A510" s="185" t="s">
        <v>1259</v>
      </c>
      <c r="B510" s="185" t="s">
        <v>1260</v>
      </c>
      <c r="C510" s="186" t="s">
        <v>180</v>
      </c>
      <c r="D510" s="185">
        <v>0</v>
      </c>
      <c r="E510" s="185"/>
      <c r="F510" s="185">
        <v>4150</v>
      </c>
      <c r="G510" s="185" t="s">
        <v>512</v>
      </c>
      <c r="H510" s="187"/>
      <c r="I510" s="188"/>
      <c r="J510" s="189">
        <v>0</v>
      </c>
    </row>
    <row r="511" spans="1:10">
      <c r="A511" s="185" t="s">
        <v>1261</v>
      </c>
      <c r="B511" s="185" t="s">
        <v>1262</v>
      </c>
      <c r="C511" s="186" t="s">
        <v>180</v>
      </c>
      <c r="D511" s="185">
        <v>0</v>
      </c>
      <c r="E511" s="185"/>
      <c r="F511" s="185">
        <v>4150</v>
      </c>
      <c r="G511" s="185" t="s">
        <v>512</v>
      </c>
      <c r="H511" s="187"/>
      <c r="I511" s="188"/>
      <c r="J511" s="189">
        <v>0</v>
      </c>
    </row>
    <row r="512" spans="1:10">
      <c r="A512" s="185" t="s">
        <v>1263</v>
      </c>
      <c r="B512" s="185" t="s">
        <v>1264</v>
      </c>
      <c r="C512" s="186" t="s">
        <v>180</v>
      </c>
      <c r="D512" s="185">
        <v>0</v>
      </c>
      <c r="E512" s="185"/>
      <c r="F512" s="185">
        <v>4150</v>
      </c>
      <c r="G512" s="185" t="s">
        <v>512</v>
      </c>
      <c r="H512" s="187"/>
      <c r="I512" s="188"/>
      <c r="J512" s="189">
        <v>0</v>
      </c>
    </row>
    <row r="513" spans="1:10">
      <c r="A513" s="185" t="s">
        <v>1265</v>
      </c>
      <c r="B513" s="185" t="s">
        <v>1266</v>
      </c>
      <c r="C513" s="186" t="s">
        <v>180</v>
      </c>
      <c r="D513" s="185">
        <v>0</v>
      </c>
      <c r="E513" s="185"/>
      <c r="F513" s="185">
        <v>4150</v>
      </c>
      <c r="G513" s="185" t="s">
        <v>512</v>
      </c>
      <c r="H513" s="187"/>
      <c r="I513" s="188"/>
      <c r="J513" s="189">
        <v>0</v>
      </c>
    </row>
    <row r="514" spans="1:10">
      <c r="A514" s="185" t="s">
        <v>1267</v>
      </c>
      <c r="B514" s="185" t="s">
        <v>1268</v>
      </c>
      <c r="C514" s="186" t="s">
        <v>180</v>
      </c>
      <c r="D514" s="185">
        <v>0</v>
      </c>
      <c r="E514" s="185"/>
      <c r="F514" s="185">
        <v>4150</v>
      </c>
      <c r="G514" s="185" t="s">
        <v>512</v>
      </c>
      <c r="H514" s="187"/>
      <c r="I514" s="188"/>
      <c r="J514" s="189">
        <v>0</v>
      </c>
    </row>
    <row r="515" spans="1:10">
      <c r="A515" s="185" t="s">
        <v>1269</v>
      </c>
      <c r="B515" s="185" t="s">
        <v>1270</v>
      </c>
      <c r="C515" s="186" t="s">
        <v>180</v>
      </c>
      <c r="D515" s="185">
        <v>0</v>
      </c>
      <c r="E515" s="185"/>
      <c r="F515" s="185">
        <v>4150</v>
      </c>
      <c r="G515" s="185" t="s">
        <v>512</v>
      </c>
      <c r="H515" s="187"/>
      <c r="I515" s="188"/>
      <c r="J515" s="189">
        <v>0</v>
      </c>
    </row>
    <row r="516" spans="1:10">
      <c r="A516" s="185" t="s">
        <v>1271</v>
      </c>
      <c r="B516" s="185" t="s">
        <v>1272</v>
      </c>
      <c r="C516" s="186" t="s">
        <v>180</v>
      </c>
      <c r="D516" s="185">
        <v>0</v>
      </c>
      <c r="E516" s="185"/>
      <c r="F516" s="185">
        <v>4150</v>
      </c>
      <c r="G516" s="185" t="s">
        <v>512</v>
      </c>
      <c r="H516" s="187"/>
      <c r="I516" s="188"/>
      <c r="J516" s="189">
        <v>0</v>
      </c>
    </row>
    <row r="517" spans="1:10">
      <c r="A517" s="185" t="s">
        <v>1273</v>
      </c>
      <c r="B517" s="185" t="s">
        <v>1274</v>
      </c>
      <c r="C517" s="186" t="s">
        <v>180</v>
      </c>
      <c r="D517" s="185" t="s">
        <v>360</v>
      </c>
      <c r="E517" s="185"/>
      <c r="F517" s="185">
        <v>4150</v>
      </c>
      <c r="G517" s="185" t="s">
        <v>512</v>
      </c>
      <c r="H517" s="187"/>
      <c r="I517" s="188"/>
      <c r="J517" s="189">
        <v>0</v>
      </c>
    </row>
    <row r="518" spans="1:10">
      <c r="A518" s="185" t="s">
        <v>1275</v>
      </c>
      <c r="B518" s="185" t="s">
        <v>770</v>
      </c>
      <c r="C518" s="186" t="s">
        <v>180</v>
      </c>
      <c r="D518" s="185">
        <v>0</v>
      </c>
      <c r="E518" s="185"/>
      <c r="F518" s="185">
        <v>4150</v>
      </c>
      <c r="G518" s="185" t="s">
        <v>374</v>
      </c>
      <c r="H518" s="187"/>
      <c r="I518" s="188"/>
      <c r="J518" s="189">
        <v>15.0142857142857</v>
      </c>
    </row>
    <row r="519" spans="1:10">
      <c r="A519" s="185" t="s">
        <v>1276</v>
      </c>
      <c r="B519" s="185" t="s">
        <v>1277</v>
      </c>
      <c r="C519" s="186" t="s">
        <v>180</v>
      </c>
      <c r="D519" s="185">
        <v>0</v>
      </c>
      <c r="E519" s="185"/>
      <c r="F519" s="185">
        <v>2150</v>
      </c>
      <c r="G519" s="185" t="s">
        <v>352</v>
      </c>
      <c r="H519" s="187"/>
      <c r="I519" s="188"/>
      <c r="J519" s="189">
        <v>6.75</v>
      </c>
    </row>
    <row r="520" spans="1:10">
      <c r="A520" s="185" t="s">
        <v>1278</v>
      </c>
      <c r="B520" s="185" t="s">
        <v>1279</v>
      </c>
      <c r="C520" s="186" t="s">
        <v>180</v>
      </c>
      <c r="D520" s="185">
        <v>0</v>
      </c>
      <c r="E520" s="185"/>
      <c r="F520" s="185">
        <v>2150</v>
      </c>
      <c r="G520" s="185" t="s">
        <v>352</v>
      </c>
      <c r="H520" s="187"/>
      <c r="I520" s="188"/>
      <c r="J520" s="189">
        <v>4.6666666666666696</v>
      </c>
    </row>
    <row r="521" spans="1:10">
      <c r="A521" s="185" t="s">
        <v>1280</v>
      </c>
      <c r="B521" s="185" t="s">
        <v>1281</v>
      </c>
      <c r="C521" s="186" t="s">
        <v>180</v>
      </c>
      <c r="D521" s="185">
        <v>0</v>
      </c>
      <c r="E521" s="185"/>
      <c r="F521" s="185">
        <v>4150</v>
      </c>
      <c r="G521" s="185" t="s">
        <v>347</v>
      </c>
      <c r="H521" s="187"/>
      <c r="I521" s="188"/>
      <c r="J521" s="189">
        <v>0.91666666666666696</v>
      </c>
    </row>
    <row r="522" spans="1:10">
      <c r="A522" s="185" t="s">
        <v>1282</v>
      </c>
      <c r="B522" s="185" t="s">
        <v>1283</v>
      </c>
      <c r="C522" s="186" t="s">
        <v>180</v>
      </c>
      <c r="D522" s="185">
        <v>0</v>
      </c>
      <c r="E522" s="185"/>
      <c r="F522" s="185">
        <v>2150</v>
      </c>
      <c r="G522" s="185" t="s">
        <v>352</v>
      </c>
      <c r="H522" s="187"/>
      <c r="I522" s="188"/>
      <c r="J522" s="189">
        <v>85.433333333333294</v>
      </c>
    </row>
    <row r="523" spans="1:10">
      <c r="A523" s="185" t="s">
        <v>1284</v>
      </c>
      <c r="B523" s="185" t="s">
        <v>1285</v>
      </c>
      <c r="C523" s="186" t="s">
        <v>180</v>
      </c>
      <c r="D523" s="185">
        <v>0</v>
      </c>
      <c r="E523" s="185"/>
      <c r="F523" s="185">
        <v>4150</v>
      </c>
      <c r="G523" s="185" t="s">
        <v>347</v>
      </c>
      <c r="H523" s="187"/>
      <c r="I523" s="188"/>
      <c r="J523" s="189">
        <v>4.1666666666666696</v>
      </c>
    </row>
    <row r="524" spans="1:10">
      <c r="A524" s="185" t="s">
        <v>1286</v>
      </c>
      <c r="B524" s="185" t="s">
        <v>1287</v>
      </c>
      <c r="C524" s="186" t="s">
        <v>180</v>
      </c>
      <c r="D524" s="185">
        <v>0</v>
      </c>
      <c r="E524" s="185"/>
      <c r="F524" s="185">
        <v>2150</v>
      </c>
      <c r="G524" s="185" t="s">
        <v>352</v>
      </c>
      <c r="H524" s="187"/>
      <c r="I524" s="188"/>
      <c r="J524" s="189">
        <v>19.133333333333301</v>
      </c>
    </row>
    <row r="525" spans="1:10">
      <c r="A525" s="185" t="s">
        <v>1288</v>
      </c>
      <c r="B525" s="185" t="s">
        <v>1289</v>
      </c>
      <c r="C525" s="186" t="s">
        <v>180</v>
      </c>
      <c r="D525" s="185">
        <v>0</v>
      </c>
      <c r="E525" s="185"/>
      <c r="F525" s="185">
        <v>2150</v>
      </c>
      <c r="G525" s="185" t="s">
        <v>352</v>
      </c>
      <c r="H525" s="187"/>
      <c r="I525" s="188"/>
      <c r="J525" s="189">
        <v>16.350000000000001</v>
      </c>
    </row>
    <row r="526" spans="1:10">
      <c r="A526" s="185" t="s">
        <v>1290</v>
      </c>
      <c r="B526" s="185" t="s">
        <v>1291</v>
      </c>
      <c r="C526" s="186" t="s">
        <v>180</v>
      </c>
      <c r="D526" s="185" t="s">
        <v>360</v>
      </c>
      <c r="E526" s="185"/>
      <c r="F526" s="185">
        <v>2150</v>
      </c>
      <c r="G526" s="185" t="s">
        <v>352</v>
      </c>
      <c r="H526" s="187"/>
      <c r="I526" s="188"/>
      <c r="J526" s="189">
        <v>46.366666666666703</v>
      </c>
    </row>
    <row r="527" spans="1:10">
      <c r="A527" s="185" t="s">
        <v>1292</v>
      </c>
      <c r="B527" s="185" t="s">
        <v>1293</v>
      </c>
      <c r="C527" s="186" t="s">
        <v>180</v>
      </c>
      <c r="D527" s="185">
        <v>0</v>
      </c>
      <c r="E527" s="185"/>
      <c r="F527" s="185">
        <v>2150</v>
      </c>
      <c r="G527" s="185" t="s">
        <v>352</v>
      </c>
      <c r="H527" s="187"/>
      <c r="I527" s="188"/>
      <c r="J527" s="189">
        <v>46.216666666666697</v>
      </c>
    </row>
    <row r="528" spans="1:10">
      <c r="A528" s="185" t="s">
        <v>1294</v>
      </c>
      <c r="B528" s="185" t="s">
        <v>1295</v>
      </c>
      <c r="C528" s="186" t="s">
        <v>180</v>
      </c>
      <c r="D528" s="185">
        <v>0</v>
      </c>
      <c r="E528" s="185"/>
      <c r="F528" s="185">
        <v>2150</v>
      </c>
      <c r="G528" s="185" t="s">
        <v>352</v>
      </c>
      <c r="H528" s="187"/>
      <c r="I528" s="188"/>
      <c r="J528" s="189">
        <v>11.4166666666667</v>
      </c>
    </row>
    <row r="529" spans="1:10">
      <c r="A529" s="185" t="s">
        <v>1296</v>
      </c>
      <c r="B529" s="185" t="s">
        <v>1297</v>
      </c>
      <c r="C529" s="186" t="s">
        <v>180</v>
      </c>
      <c r="D529" s="185" t="s">
        <v>637</v>
      </c>
      <c r="E529" s="185"/>
      <c r="F529" s="185">
        <v>2150</v>
      </c>
      <c r="G529" s="185" t="s">
        <v>352</v>
      </c>
      <c r="H529" s="187"/>
      <c r="I529" s="188"/>
      <c r="J529" s="189">
        <v>69</v>
      </c>
    </row>
    <row r="530" spans="1:10">
      <c r="A530" s="185" t="s">
        <v>1298</v>
      </c>
      <c r="B530" s="185" t="s">
        <v>1299</v>
      </c>
      <c r="C530" s="186" t="s">
        <v>180</v>
      </c>
      <c r="D530" s="185">
        <v>0</v>
      </c>
      <c r="E530" s="185"/>
      <c r="F530" s="185">
        <v>4150</v>
      </c>
      <c r="G530" s="185" t="s">
        <v>347</v>
      </c>
      <c r="H530" s="187"/>
      <c r="I530" s="188"/>
      <c r="J530" s="189">
        <v>19.4166666666667</v>
      </c>
    </row>
    <row r="531" spans="1:10">
      <c r="A531" s="185" t="s">
        <v>1300</v>
      </c>
      <c r="B531" s="185" t="s">
        <v>1301</v>
      </c>
      <c r="C531" s="186" t="s">
        <v>180</v>
      </c>
      <c r="D531" s="185">
        <v>0</v>
      </c>
      <c r="E531" s="185"/>
      <c r="F531" s="185">
        <v>2150</v>
      </c>
      <c r="G531" s="185" t="s">
        <v>352</v>
      </c>
      <c r="H531" s="187"/>
      <c r="I531" s="188"/>
      <c r="J531" s="189">
        <v>34.133333333333297</v>
      </c>
    </row>
    <row r="532" spans="1:10">
      <c r="A532" s="185" t="s">
        <v>1302</v>
      </c>
      <c r="B532" s="185" t="s">
        <v>1303</v>
      </c>
      <c r="C532" s="186" t="s">
        <v>180</v>
      </c>
      <c r="D532" s="185">
        <v>0</v>
      </c>
      <c r="E532" s="185"/>
      <c r="F532" s="185">
        <v>2150</v>
      </c>
      <c r="G532" s="185" t="s">
        <v>352</v>
      </c>
      <c r="H532" s="187"/>
      <c r="I532" s="188"/>
      <c r="J532" s="189">
        <v>2.81666666666667</v>
      </c>
    </row>
    <row r="533" spans="1:10">
      <c r="A533" s="185" t="s">
        <v>1304</v>
      </c>
      <c r="B533" s="185" t="s">
        <v>1305</v>
      </c>
      <c r="C533" s="186" t="s">
        <v>180</v>
      </c>
      <c r="D533" s="185">
        <v>0</v>
      </c>
      <c r="E533" s="185"/>
      <c r="F533" s="185">
        <v>2150</v>
      </c>
      <c r="G533" s="185" t="s">
        <v>352</v>
      </c>
      <c r="H533" s="187"/>
      <c r="I533" s="188"/>
      <c r="J533" s="189">
        <v>8</v>
      </c>
    </row>
    <row r="534" spans="1:10">
      <c r="A534" s="185" t="s">
        <v>1306</v>
      </c>
      <c r="B534" s="185" t="s">
        <v>968</v>
      </c>
      <c r="C534" s="186" t="s">
        <v>180</v>
      </c>
      <c r="D534" s="185">
        <v>0</v>
      </c>
      <c r="E534" s="185"/>
      <c r="F534" s="185">
        <v>4150</v>
      </c>
      <c r="G534" s="185" t="s">
        <v>512</v>
      </c>
      <c r="H534" s="187"/>
      <c r="I534" s="188"/>
      <c r="J534" s="189">
        <v>0</v>
      </c>
    </row>
    <row r="535" spans="1:10">
      <c r="A535" s="185" t="s">
        <v>1307</v>
      </c>
      <c r="B535" s="185" t="s">
        <v>1308</v>
      </c>
      <c r="C535" s="186" t="s">
        <v>180</v>
      </c>
      <c r="D535" s="185">
        <v>0</v>
      </c>
      <c r="E535" s="185"/>
      <c r="F535" s="185">
        <v>4150</v>
      </c>
      <c r="G535" s="185" t="s">
        <v>347</v>
      </c>
      <c r="H535" s="187"/>
      <c r="I535" s="188"/>
      <c r="J535" s="189">
        <v>5.5</v>
      </c>
    </row>
    <row r="536" spans="1:10">
      <c r="A536" s="185" t="s">
        <v>1309</v>
      </c>
      <c r="B536" s="185" t="s">
        <v>1310</v>
      </c>
      <c r="C536" s="186" t="s">
        <v>180</v>
      </c>
      <c r="D536" s="185">
        <v>0</v>
      </c>
      <c r="E536" s="185"/>
      <c r="F536" s="185">
        <v>4150</v>
      </c>
      <c r="G536" s="185" t="s">
        <v>357</v>
      </c>
      <c r="H536" s="187"/>
      <c r="I536" s="188"/>
      <c r="J536" s="189">
        <v>38.4444444444444</v>
      </c>
    </row>
    <row r="537" spans="1:10">
      <c r="A537" s="185" t="s">
        <v>1311</v>
      </c>
      <c r="B537" s="185" t="s">
        <v>1312</v>
      </c>
      <c r="C537" s="186" t="s">
        <v>180</v>
      </c>
      <c r="D537" s="185">
        <v>0</v>
      </c>
      <c r="E537" s="185"/>
      <c r="F537" s="185">
        <v>4150</v>
      </c>
      <c r="G537" s="185" t="s">
        <v>512</v>
      </c>
      <c r="H537" s="187"/>
      <c r="I537" s="188"/>
      <c r="J537" s="189">
        <v>573.21428571428601</v>
      </c>
    </row>
    <row r="538" spans="1:10">
      <c r="A538" s="185" t="s">
        <v>1313</v>
      </c>
      <c r="B538" s="185" t="s">
        <v>1314</v>
      </c>
      <c r="C538" s="186" t="s">
        <v>180</v>
      </c>
      <c r="D538" s="185">
        <v>0</v>
      </c>
      <c r="E538" s="185"/>
      <c r="F538" s="185">
        <v>2150</v>
      </c>
      <c r="G538" s="185" t="s">
        <v>352</v>
      </c>
      <c r="H538" s="187"/>
      <c r="I538" s="188"/>
      <c r="J538" s="189">
        <v>21.233333333333299</v>
      </c>
    </row>
    <row r="539" spans="1:10">
      <c r="A539" s="185" t="s">
        <v>1315</v>
      </c>
      <c r="B539" s="185" t="s">
        <v>1316</v>
      </c>
      <c r="C539" s="186" t="s">
        <v>180</v>
      </c>
      <c r="D539" s="185">
        <v>0</v>
      </c>
      <c r="E539" s="185"/>
      <c r="F539" s="185">
        <v>2150</v>
      </c>
      <c r="G539" s="185" t="s">
        <v>352</v>
      </c>
      <c r="H539" s="187"/>
      <c r="I539" s="188"/>
      <c r="J539" s="189">
        <v>15.25</v>
      </c>
    </row>
    <row r="540" spans="1:10">
      <c r="A540" s="185" t="s">
        <v>1317</v>
      </c>
      <c r="B540" s="185" t="s">
        <v>1318</v>
      </c>
      <c r="C540" s="186" t="s">
        <v>180</v>
      </c>
      <c r="D540" s="185">
        <v>0</v>
      </c>
      <c r="E540" s="185"/>
      <c r="F540" s="185">
        <v>2150</v>
      </c>
      <c r="G540" s="185" t="s">
        <v>352</v>
      </c>
      <c r="H540" s="187"/>
      <c r="I540" s="188"/>
      <c r="J540" s="189">
        <v>3.5833333333333299</v>
      </c>
    </row>
    <row r="541" spans="1:10">
      <c r="A541" s="185" t="s">
        <v>1319</v>
      </c>
      <c r="B541" s="185" t="s">
        <v>1320</v>
      </c>
      <c r="C541" s="186" t="s">
        <v>180</v>
      </c>
      <c r="D541" s="185">
        <v>0</v>
      </c>
      <c r="E541" s="185"/>
      <c r="F541" s="185">
        <v>2150</v>
      </c>
      <c r="G541" s="185" t="s">
        <v>352</v>
      </c>
      <c r="H541" s="187"/>
      <c r="I541" s="188"/>
      <c r="J541" s="189">
        <v>48.75</v>
      </c>
    </row>
    <row r="542" spans="1:10">
      <c r="A542" s="185" t="s">
        <v>1321</v>
      </c>
      <c r="B542" s="185" t="s">
        <v>1069</v>
      </c>
      <c r="C542" s="186" t="s">
        <v>180</v>
      </c>
      <c r="D542" s="185">
        <v>0</v>
      </c>
      <c r="E542" s="185"/>
      <c r="F542" s="185">
        <v>4150</v>
      </c>
      <c r="G542" s="185" t="s">
        <v>357</v>
      </c>
      <c r="H542" s="187"/>
      <c r="I542" s="188"/>
      <c r="J542" s="189">
        <v>57.6666666666667</v>
      </c>
    </row>
    <row r="543" spans="1:10">
      <c r="A543" s="185" t="s">
        <v>1322</v>
      </c>
      <c r="B543" s="185" t="s">
        <v>1323</v>
      </c>
      <c r="C543" s="186" t="s">
        <v>176</v>
      </c>
      <c r="D543" s="185">
        <v>0</v>
      </c>
      <c r="E543" s="185" t="s">
        <v>365</v>
      </c>
      <c r="F543" s="185">
        <v>2100</v>
      </c>
      <c r="G543" s="185" t="s">
        <v>419</v>
      </c>
      <c r="H543" s="187"/>
      <c r="I543" s="188"/>
      <c r="J543" s="189">
        <v>0.3</v>
      </c>
    </row>
    <row r="544" spans="1:10">
      <c r="A544" s="185" t="s">
        <v>1324</v>
      </c>
      <c r="B544" s="185" t="s">
        <v>1325</v>
      </c>
      <c r="C544" s="186" t="s">
        <v>176</v>
      </c>
      <c r="D544" s="185">
        <v>0</v>
      </c>
      <c r="E544" s="185" t="s">
        <v>365</v>
      </c>
      <c r="F544" s="185">
        <v>2100</v>
      </c>
      <c r="G544" s="185" t="s">
        <v>419</v>
      </c>
      <c r="H544" s="187"/>
      <c r="I544" s="188"/>
      <c r="J544" s="189">
        <v>0.3</v>
      </c>
    </row>
    <row r="545" spans="1:10">
      <c r="A545" s="185" t="s">
        <v>1326</v>
      </c>
      <c r="B545" s="185" t="s">
        <v>1327</v>
      </c>
      <c r="C545" s="186" t="s">
        <v>176</v>
      </c>
      <c r="D545" s="185">
        <v>0</v>
      </c>
      <c r="E545" s="185" t="s">
        <v>365</v>
      </c>
      <c r="F545" s="185">
        <v>2100</v>
      </c>
      <c r="G545" s="185" t="s">
        <v>419</v>
      </c>
      <c r="H545" s="187"/>
      <c r="I545" s="188"/>
      <c r="J545" s="189">
        <v>0.3</v>
      </c>
    </row>
    <row r="546" spans="1:10">
      <c r="A546" s="185" t="s">
        <v>1328</v>
      </c>
      <c r="B546" s="185" t="s">
        <v>1329</v>
      </c>
      <c r="C546" s="186" t="s">
        <v>176</v>
      </c>
      <c r="D546" s="185">
        <v>0</v>
      </c>
      <c r="E546" s="185" t="s">
        <v>365</v>
      </c>
      <c r="F546" s="185">
        <v>2100</v>
      </c>
      <c r="G546" s="185" t="s">
        <v>419</v>
      </c>
      <c r="H546" s="187"/>
      <c r="I546" s="188"/>
      <c r="J546" s="189">
        <v>0.3</v>
      </c>
    </row>
    <row r="547" spans="1:10">
      <c r="A547" s="185" t="s">
        <v>1649</v>
      </c>
      <c r="B547" s="185" t="s">
        <v>1330</v>
      </c>
      <c r="C547" s="186" t="s">
        <v>176</v>
      </c>
      <c r="D547" s="185" t="s">
        <v>360</v>
      </c>
      <c r="E547" s="185" t="s">
        <v>365</v>
      </c>
      <c r="F547" s="185">
        <v>2100</v>
      </c>
      <c r="G547" s="185" t="s">
        <v>419</v>
      </c>
      <c r="H547" s="187"/>
      <c r="I547" s="188"/>
      <c r="J547" s="189">
        <v>0.3</v>
      </c>
    </row>
    <row r="548" spans="1:10">
      <c r="A548" s="185" t="s">
        <v>1331</v>
      </c>
      <c r="B548" s="185" t="s">
        <v>1332</v>
      </c>
      <c r="C548" s="186" t="s">
        <v>176</v>
      </c>
      <c r="D548" s="185" t="s">
        <v>360</v>
      </c>
      <c r="E548" s="185" t="s">
        <v>365</v>
      </c>
      <c r="F548" s="185">
        <v>2100</v>
      </c>
      <c r="G548" s="185" t="s">
        <v>419</v>
      </c>
      <c r="H548" s="187"/>
      <c r="I548" s="188"/>
      <c r="J548" s="189">
        <v>0.3</v>
      </c>
    </row>
    <row r="549" spans="1:10">
      <c r="A549" s="185" t="s">
        <v>1333</v>
      </c>
      <c r="B549" s="185" t="s">
        <v>1334</v>
      </c>
      <c r="C549" s="186" t="s">
        <v>180</v>
      </c>
      <c r="D549" s="185">
        <v>0</v>
      </c>
      <c r="E549" s="185"/>
      <c r="F549" s="185">
        <v>2150</v>
      </c>
      <c r="G549" s="185" t="s">
        <v>352</v>
      </c>
      <c r="H549" s="187"/>
      <c r="I549" s="188"/>
      <c r="J549" s="189">
        <v>22.366666666666699</v>
      </c>
    </row>
    <row r="550" spans="1:10">
      <c r="A550" s="185" t="s">
        <v>1335</v>
      </c>
      <c r="B550" s="185" t="s">
        <v>1336</v>
      </c>
      <c r="C550" s="186" t="s">
        <v>180</v>
      </c>
      <c r="D550" s="185">
        <v>0</v>
      </c>
      <c r="E550" s="185"/>
      <c r="F550" s="185">
        <v>2150</v>
      </c>
      <c r="G550" s="185" t="s">
        <v>352</v>
      </c>
      <c r="H550" s="187"/>
      <c r="I550" s="188"/>
      <c r="J550" s="189">
        <v>14.633333333333301</v>
      </c>
    </row>
    <row r="551" spans="1:10">
      <c r="A551" s="185" t="s">
        <v>1337</v>
      </c>
      <c r="B551" s="185" t="s">
        <v>1338</v>
      </c>
      <c r="C551" s="186" t="s">
        <v>180</v>
      </c>
      <c r="D551" s="185">
        <v>0</v>
      </c>
      <c r="E551" s="185"/>
      <c r="F551" s="185">
        <v>2150</v>
      </c>
      <c r="G551" s="185" t="s">
        <v>352</v>
      </c>
      <c r="H551" s="187"/>
      <c r="I551" s="188"/>
      <c r="J551" s="189">
        <v>8.0833333333333304</v>
      </c>
    </row>
    <row r="552" spans="1:10">
      <c r="A552" s="185" t="s">
        <v>1339</v>
      </c>
      <c r="B552" s="185" t="s">
        <v>1340</v>
      </c>
      <c r="C552" s="186" t="s">
        <v>180</v>
      </c>
      <c r="D552" s="185">
        <v>0</v>
      </c>
      <c r="E552" s="185"/>
      <c r="F552" s="185">
        <v>2150</v>
      </c>
      <c r="G552" s="185" t="s">
        <v>352</v>
      </c>
      <c r="H552" s="187"/>
      <c r="I552" s="188"/>
      <c r="J552" s="189">
        <v>20</v>
      </c>
    </row>
    <row r="553" spans="1:10">
      <c r="A553" s="185" t="s">
        <v>1341</v>
      </c>
      <c r="B553" s="185" t="s">
        <v>808</v>
      </c>
      <c r="C553" s="186" t="s">
        <v>180</v>
      </c>
      <c r="D553" s="185">
        <v>0</v>
      </c>
      <c r="E553" s="185"/>
      <c r="F553" s="185">
        <v>2150</v>
      </c>
      <c r="G553" s="185" t="s">
        <v>352</v>
      </c>
      <c r="H553" s="187"/>
      <c r="I553" s="188"/>
      <c r="J553" s="189">
        <v>1.2333333333333301</v>
      </c>
    </row>
    <row r="554" spans="1:10">
      <c r="A554" s="185" t="s">
        <v>1650</v>
      </c>
      <c r="B554" s="185" t="s">
        <v>1342</v>
      </c>
      <c r="C554" s="186" t="s">
        <v>176</v>
      </c>
      <c r="D554" s="185">
        <v>0</v>
      </c>
      <c r="E554" s="185" t="s">
        <v>365</v>
      </c>
      <c r="F554" s="185">
        <v>2100</v>
      </c>
      <c r="G554" s="185" t="s">
        <v>419</v>
      </c>
      <c r="H554" s="187"/>
      <c r="I554" s="188"/>
      <c r="J554" s="189">
        <v>0.3</v>
      </c>
    </row>
    <row r="555" spans="1:10">
      <c r="A555" s="185" t="s">
        <v>1651</v>
      </c>
      <c r="B555" s="185" t="s">
        <v>1652</v>
      </c>
      <c r="C555" s="186" t="s">
        <v>176</v>
      </c>
      <c r="D555" s="185">
        <v>0</v>
      </c>
      <c r="E555" s="185" t="s">
        <v>365</v>
      </c>
      <c r="F555" s="185">
        <v>2100</v>
      </c>
      <c r="G555" s="185" t="s">
        <v>419</v>
      </c>
      <c r="H555" s="187"/>
      <c r="I555" s="188"/>
      <c r="J555" s="189">
        <v>0.3</v>
      </c>
    </row>
    <row r="556" spans="1:10">
      <c r="A556" s="185" t="s">
        <v>1653</v>
      </c>
      <c r="B556" s="185" t="s">
        <v>1654</v>
      </c>
      <c r="C556" s="186" t="s">
        <v>176</v>
      </c>
      <c r="D556" s="185">
        <v>0</v>
      </c>
      <c r="E556" s="185" t="s">
        <v>365</v>
      </c>
      <c r="F556" s="185">
        <v>2100</v>
      </c>
      <c r="G556" s="185" t="s">
        <v>419</v>
      </c>
      <c r="H556" s="187"/>
      <c r="I556" s="188"/>
      <c r="J556" s="189">
        <v>0.3</v>
      </c>
    </row>
    <row r="557" spans="1:10">
      <c r="A557" s="185" t="s">
        <v>1655</v>
      </c>
      <c r="B557" s="185" t="s">
        <v>1656</v>
      </c>
      <c r="C557" s="186" t="s">
        <v>176</v>
      </c>
      <c r="D557" s="185">
        <v>0</v>
      </c>
      <c r="E557" s="185" t="s">
        <v>365</v>
      </c>
      <c r="F557" s="185">
        <v>2100</v>
      </c>
      <c r="G557" s="185" t="s">
        <v>419</v>
      </c>
      <c r="H557" s="187"/>
      <c r="I557" s="188"/>
      <c r="J557" s="189">
        <v>0.3</v>
      </c>
    </row>
    <row r="558" spans="1:10">
      <c r="A558" s="185" t="s">
        <v>1657</v>
      </c>
      <c r="B558" s="185" t="s">
        <v>1658</v>
      </c>
      <c r="C558" s="186" t="s">
        <v>176</v>
      </c>
      <c r="D558" s="185">
        <v>0</v>
      </c>
      <c r="E558" s="185" t="s">
        <v>365</v>
      </c>
      <c r="F558" s="185">
        <v>2100</v>
      </c>
      <c r="G558" s="185" t="s">
        <v>419</v>
      </c>
      <c r="H558" s="187"/>
      <c r="I558" s="188"/>
      <c r="J558" s="189">
        <v>0.3</v>
      </c>
    </row>
    <row r="559" spans="1:10">
      <c r="A559" s="185" t="s">
        <v>1659</v>
      </c>
      <c r="B559" s="185" t="s">
        <v>1660</v>
      </c>
      <c r="C559" s="186" t="s">
        <v>176</v>
      </c>
      <c r="D559" s="185">
        <v>0</v>
      </c>
      <c r="E559" s="185" t="s">
        <v>365</v>
      </c>
      <c r="F559" s="185">
        <v>2100</v>
      </c>
      <c r="G559" s="185" t="s">
        <v>419</v>
      </c>
      <c r="H559" s="187"/>
      <c r="I559" s="188"/>
      <c r="J559" s="189">
        <v>0.3</v>
      </c>
    </row>
    <row r="560" spans="1:10">
      <c r="A560" s="185" t="s">
        <v>1661</v>
      </c>
      <c r="B560" s="185" t="s">
        <v>1662</v>
      </c>
      <c r="C560" s="186" t="s">
        <v>176</v>
      </c>
      <c r="D560" s="185">
        <v>0</v>
      </c>
      <c r="E560" s="185" t="s">
        <v>365</v>
      </c>
      <c r="F560" s="185">
        <v>2100</v>
      </c>
      <c r="G560" s="185" t="s">
        <v>419</v>
      </c>
      <c r="H560" s="187"/>
      <c r="I560" s="188"/>
      <c r="J560" s="189">
        <v>0.3</v>
      </c>
    </row>
    <row r="561" spans="1:10">
      <c r="A561" s="185" t="s">
        <v>1663</v>
      </c>
      <c r="B561" s="185" t="s">
        <v>1664</v>
      </c>
      <c r="C561" s="186" t="s">
        <v>176</v>
      </c>
      <c r="D561" s="185">
        <v>0</v>
      </c>
      <c r="E561" s="185" t="s">
        <v>365</v>
      </c>
      <c r="F561" s="185">
        <v>2100</v>
      </c>
      <c r="G561" s="185" t="s">
        <v>419</v>
      </c>
      <c r="H561" s="187"/>
      <c r="I561" s="188"/>
      <c r="J561" s="189">
        <v>0.3</v>
      </c>
    </row>
    <row r="562" spans="1:10">
      <c r="A562" s="185" t="s">
        <v>1343</v>
      </c>
      <c r="B562" s="185" t="s">
        <v>1344</v>
      </c>
      <c r="C562" s="186" t="s">
        <v>176</v>
      </c>
      <c r="D562" s="185">
        <v>0</v>
      </c>
      <c r="E562" s="185" t="s">
        <v>365</v>
      </c>
      <c r="F562" s="185">
        <v>2100</v>
      </c>
      <c r="G562" s="185" t="s">
        <v>419</v>
      </c>
      <c r="H562" s="187"/>
      <c r="I562" s="188"/>
      <c r="J562" s="189">
        <v>0.3</v>
      </c>
    </row>
    <row r="563" spans="1:10">
      <c r="A563" s="185" t="s">
        <v>1345</v>
      </c>
      <c r="B563" s="185" t="s">
        <v>1346</v>
      </c>
      <c r="C563" s="186" t="s">
        <v>180</v>
      </c>
      <c r="D563" s="185">
        <v>0</v>
      </c>
      <c r="E563" s="185"/>
      <c r="F563" s="185">
        <v>4150</v>
      </c>
      <c r="G563" s="185" t="s">
        <v>357</v>
      </c>
      <c r="H563" s="187"/>
      <c r="I563" s="188"/>
      <c r="J563" s="189">
        <v>10.7777777777778</v>
      </c>
    </row>
    <row r="564" spans="1:10">
      <c r="A564" s="185" t="s">
        <v>1347</v>
      </c>
      <c r="B564" s="185" t="s">
        <v>1348</v>
      </c>
      <c r="C564" s="186" t="s">
        <v>180</v>
      </c>
      <c r="D564" s="185">
        <v>0</v>
      </c>
      <c r="E564" s="185"/>
      <c r="F564" s="185">
        <v>2150</v>
      </c>
      <c r="G564" s="185" t="s">
        <v>352</v>
      </c>
      <c r="H564" s="187"/>
      <c r="I564" s="188"/>
      <c r="J564" s="189">
        <v>11.016666666666699</v>
      </c>
    </row>
    <row r="565" spans="1:10">
      <c r="A565" s="185" t="s">
        <v>1349</v>
      </c>
      <c r="B565" s="185" t="s">
        <v>1350</v>
      </c>
      <c r="C565" s="186" t="s">
        <v>180</v>
      </c>
      <c r="D565" s="185">
        <v>0</v>
      </c>
      <c r="E565" s="185"/>
      <c r="F565" s="185">
        <v>2150</v>
      </c>
      <c r="G565" s="185" t="s">
        <v>352</v>
      </c>
      <c r="H565" s="187"/>
      <c r="I565" s="188"/>
      <c r="J565" s="189">
        <v>8.5166666666666693</v>
      </c>
    </row>
    <row r="566" spans="1:10">
      <c r="A566" s="185" t="s">
        <v>1351</v>
      </c>
      <c r="B566" s="185" t="s">
        <v>517</v>
      </c>
      <c r="C566" s="186" t="s">
        <v>180</v>
      </c>
      <c r="D566" s="185">
        <v>0</v>
      </c>
      <c r="E566" s="185"/>
      <c r="F566" s="185">
        <v>4150</v>
      </c>
      <c r="G566" s="185" t="s">
        <v>347</v>
      </c>
      <c r="H566" s="187"/>
      <c r="I566" s="188"/>
      <c r="J566" s="189">
        <v>0.73333333333333295</v>
      </c>
    </row>
    <row r="567" spans="1:10">
      <c r="A567" s="185" t="s">
        <v>1352</v>
      </c>
      <c r="B567" s="185" t="s">
        <v>1353</v>
      </c>
      <c r="C567" s="186" t="s">
        <v>180</v>
      </c>
      <c r="D567" s="185">
        <v>0</v>
      </c>
      <c r="E567" s="185"/>
      <c r="F567" s="185">
        <v>4150</v>
      </c>
      <c r="G567" s="185" t="s">
        <v>347</v>
      </c>
      <c r="H567" s="187"/>
      <c r="I567" s="188"/>
      <c r="J567" s="189">
        <v>1.4166666666666701</v>
      </c>
    </row>
    <row r="568" spans="1:10">
      <c r="A568" s="185" t="s">
        <v>1354</v>
      </c>
      <c r="B568" s="185" t="s">
        <v>1355</v>
      </c>
      <c r="C568" s="186" t="s">
        <v>180</v>
      </c>
      <c r="D568" s="185">
        <v>0</v>
      </c>
      <c r="E568" s="185"/>
      <c r="F568" s="185">
        <v>4150</v>
      </c>
      <c r="G568" s="185" t="s">
        <v>347</v>
      </c>
      <c r="H568" s="187"/>
      <c r="I568" s="188"/>
      <c r="J568" s="189">
        <v>0.81666666666666698</v>
      </c>
    </row>
    <row r="569" spans="1:10">
      <c r="A569" s="185" t="s">
        <v>1356</v>
      </c>
      <c r="B569" s="185" t="s">
        <v>1357</v>
      </c>
      <c r="C569" s="186" t="s">
        <v>180</v>
      </c>
      <c r="D569" s="185">
        <v>0</v>
      </c>
      <c r="E569" s="185"/>
      <c r="F569" s="185">
        <v>4150</v>
      </c>
      <c r="G569" s="185" t="s">
        <v>357</v>
      </c>
      <c r="H569" s="187"/>
      <c r="I569" s="188"/>
      <c r="J569" s="189">
        <v>193.177777777778</v>
      </c>
    </row>
    <row r="570" spans="1:10">
      <c r="A570" s="185" t="s">
        <v>1358</v>
      </c>
      <c r="B570" s="185" t="s">
        <v>1357</v>
      </c>
      <c r="C570" s="186" t="s">
        <v>180</v>
      </c>
      <c r="D570" s="185">
        <v>0</v>
      </c>
      <c r="E570" s="185"/>
      <c r="F570" s="185">
        <v>4150</v>
      </c>
      <c r="G570" s="185" t="s">
        <v>357</v>
      </c>
      <c r="H570" s="187"/>
      <c r="I570" s="188"/>
      <c r="J570" s="189">
        <v>193.177777777778</v>
      </c>
    </row>
    <row r="571" spans="1:10">
      <c r="A571" s="185" t="s">
        <v>1359</v>
      </c>
      <c r="B571" s="185" t="s">
        <v>1357</v>
      </c>
      <c r="C571" s="186" t="s">
        <v>180</v>
      </c>
      <c r="D571" s="185">
        <v>0</v>
      </c>
      <c r="E571" s="185"/>
      <c r="F571" s="185">
        <v>4150</v>
      </c>
      <c r="G571" s="185" t="s">
        <v>357</v>
      </c>
      <c r="H571" s="187"/>
      <c r="I571" s="188"/>
      <c r="J571" s="189">
        <v>193.177777777778</v>
      </c>
    </row>
    <row r="572" spans="1:10">
      <c r="A572" s="185" t="s">
        <v>1360</v>
      </c>
      <c r="B572" s="185" t="s">
        <v>1357</v>
      </c>
      <c r="C572" s="186" t="s">
        <v>180</v>
      </c>
      <c r="D572" s="185">
        <v>0</v>
      </c>
      <c r="E572" s="185"/>
      <c r="F572" s="185">
        <v>4150</v>
      </c>
      <c r="G572" s="185" t="s">
        <v>357</v>
      </c>
      <c r="H572" s="187"/>
      <c r="I572" s="188"/>
      <c r="J572" s="189">
        <v>193.177777777778</v>
      </c>
    </row>
    <row r="573" spans="1:10">
      <c r="A573" s="185" t="s">
        <v>1361</v>
      </c>
      <c r="B573" s="185" t="s">
        <v>1357</v>
      </c>
      <c r="C573" s="186" t="s">
        <v>180</v>
      </c>
      <c r="D573" s="185">
        <v>0</v>
      </c>
      <c r="E573" s="185"/>
      <c r="F573" s="185">
        <v>4150</v>
      </c>
      <c r="G573" s="185" t="s">
        <v>357</v>
      </c>
      <c r="H573" s="187"/>
      <c r="I573" s="188"/>
      <c r="J573" s="189">
        <v>193.177777777778</v>
      </c>
    </row>
    <row r="574" spans="1:10">
      <c r="A574" s="185" t="s">
        <v>1362</v>
      </c>
      <c r="B574" s="185" t="s">
        <v>1357</v>
      </c>
      <c r="C574" s="186" t="s">
        <v>180</v>
      </c>
      <c r="D574" s="185">
        <v>0</v>
      </c>
      <c r="E574" s="185"/>
      <c r="F574" s="185">
        <v>4150</v>
      </c>
      <c r="G574" s="185" t="s">
        <v>357</v>
      </c>
      <c r="H574" s="187"/>
      <c r="I574" s="188"/>
      <c r="J574" s="189">
        <v>193.177777777778</v>
      </c>
    </row>
    <row r="575" spans="1:10">
      <c r="A575" s="185" t="s">
        <v>1363</v>
      </c>
      <c r="B575" s="185" t="s">
        <v>1357</v>
      </c>
      <c r="C575" s="186" t="s">
        <v>180</v>
      </c>
      <c r="D575" s="185">
        <v>0</v>
      </c>
      <c r="E575" s="185"/>
      <c r="F575" s="185">
        <v>4150</v>
      </c>
      <c r="G575" s="185" t="s">
        <v>357</v>
      </c>
      <c r="H575" s="187"/>
      <c r="I575" s="188"/>
      <c r="J575" s="189">
        <v>193.177777777778</v>
      </c>
    </row>
    <row r="576" spans="1:10">
      <c r="A576" s="185" t="s">
        <v>1364</v>
      </c>
      <c r="B576" s="185" t="s">
        <v>1357</v>
      </c>
      <c r="C576" s="186" t="s">
        <v>180</v>
      </c>
      <c r="D576" s="185">
        <v>0</v>
      </c>
      <c r="E576" s="185"/>
      <c r="F576" s="185">
        <v>4150</v>
      </c>
      <c r="G576" s="185" t="s">
        <v>357</v>
      </c>
      <c r="H576" s="187"/>
      <c r="I576" s="188"/>
      <c r="J576" s="189">
        <v>193.177777777778</v>
      </c>
    </row>
    <row r="577" spans="1:10">
      <c r="A577" s="185" t="s">
        <v>1365</v>
      </c>
      <c r="B577" s="185" t="s">
        <v>1357</v>
      </c>
      <c r="C577" s="186" t="s">
        <v>180</v>
      </c>
      <c r="D577" s="185">
        <v>0</v>
      </c>
      <c r="E577" s="185"/>
      <c r="F577" s="185">
        <v>4150</v>
      </c>
      <c r="G577" s="185" t="s">
        <v>357</v>
      </c>
      <c r="H577" s="187"/>
      <c r="I577" s="188"/>
      <c r="J577" s="189">
        <v>193.177777777778</v>
      </c>
    </row>
    <row r="578" spans="1:10">
      <c r="A578" s="185" t="s">
        <v>1366</v>
      </c>
      <c r="B578" s="185" t="s">
        <v>1357</v>
      </c>
      <c r="C578" s="186" t="s">
        <v>180</v>
      </c>
      <c r="D578" s="185">
        <v>0</v>
      </c>
      <c r="E578" s="185"/>
      <c r="F578" s="185">
        <v>4150</v>
      </c>
      <c r="G578" s="185" t="s">
        <v>357</v>
      </c>
      <c r="H578" s="187"/>
      <c r="I578" s="188"/>
      <c r="J578" s="189">
        <v>193.177777777778</v>
      </c>
    </row>
    <row r="579" spans="1:10">
      <c r="A579" s="185" t="s">
        <v>1367</v>
      </c>
      <c r="B579" s="185" t="s">
        <v>1357</v>
      </c>
      <c r="C579" s="186" t="s">
        <v>180</v>
      </c>
      <c r="D579" s="185">
        <v>0</v>
      </c>
      <c r="E579" s="185"/>
      <c r="F579" s="185">
        <v>4150</v>
      </c>
      <c r="G579" s="185" t="s">
        <v>357</v>
      </c>
      <c r="H579" s="187"/>
      <c r="I579" s="188"/>
      <c r="J579" s="189">
        <v>193.177777777778</v>
      </c>
    </row>
    <row r="580" spans="1:10">
      <c r="A580" s="185" t="s">
        <v>1368</v>
      </c>
      <c r="B580" s="185" t="s">
        <v>1357</v>
      </c>
      <c r="C580" s="186" t="s">
        <v>180</v>
      </c>
      <c r="D580" s="185">
        <v>0</v>
      </c>
      <c r="E580" s="185"/>
      <c r="F580" s="185">
        <v>4150</v>
      </c>
      <c r="G580" s="185" t="s">
        <v>357</v>
      </c>
      <c r="H580" s="187"/>
      <c r="I580" s="188"/>
      <c r="J580" s="189">
        <v>193.177777777778</v>
      </c>
    </row>
    <row r="581" spans="1:10">
      <c r="A581" s="185" t="s">
        <v>1369</v>
      </c>
      <c r="B581" s="185" t="s">
        <v>1370</v>
      </c>
      <c r="C581" s="186" t="s">
        <v>180</v>
      </c>
      <c r="D581" s="185">
        <v>0</v>
      </c>
      <c r="E581" s="185"/>
      <c r="F581" s="185">
        <v>4150</v>
      </c>
      <c r="G581" s="185" t="s">
        <v>357</v>
      </c>
      <c r="H581" s="187"/>
      <c r="I581" s="188"/>
      <c r="J581" s="189">
        <v>193.177777777778</v>
      </c>
    </row>
    <row r="582" spans="1:10">
      <c r="A582" s="185" t="s">
        <v>1371</v>
      </c>
      <c r="B582" s="185" t="s">
        <v>1370</v>
      </c>
      <c r="C582" s="186" t="s">
        <v>180</v>
      </c>
      <c r="D582" s="185">
        <v>0</v>
      </c>
      <c r="E582" s="185"/>
      <c r="F582" s="185">
        <v>4150</v>
      </c>
      <c r="G582" s="185" t="s">
        <v>357</v>
      </c>
      <c r="H582" s="187"/>
      <c r="I582" s="188"/>
      <c r="J582" s="189">
        <v>193.177777777778</v>
      </c>
    </row>
    <row r="583" spans="1:10">
      <c r="A583" s="185" t="s">
        <v>1372</v>
      </c>
      <c r="B583" s="185" t="s">
        <v>1370</v>
      </c>
      <c r="C583" s="186" t="s">
        <v>180</v>
      </c>
      <c r="D583" s="185">
        <v>0</v>
      </c>
      <c r="E583" s="185"/>
      <c r="F583" s="185">
        <v>4150</v>
      </c>
      <c r="G583" s="185" t="s">
        <v>357</v>
      </c>
      <c r="H583" s="187"/>
      <c r="I583" s="188"/>
      <c r="J583" s="189">
        <v>193.177777777778</v>
      </c>
    </row>
    <row r="584" spans="1:10">
      <c r="A584" s="185" t="s">
        <v>1373</v>
      </c>
      <c r="B584" s="185" t="s">
        <v>1370</v>
      </c>
      <c r="C584" s="186" t="s">
        <v>180</v>
      </c>
      <c r="D584" s="185">
        <v>0</v>
      </c>
      <c r="E584" s="185"/>
      <c r="F584" s="185">
        <v>4150</v>
      </c>
      <c r="G584" s="185" t="s">
        <v>357</v>
      </c>
      <c r="H584" s="187"/>
      <c r="I584" s="188"/>
      <c r="J584" s="189">
        <v>193.177777777778</v>
      </c>
    </row>
    <row r="585" spans="1:10">
      <c r="A585" s="185" t="s">
        <v>1374</v>
      </c>
      <c r="B585" s="185" t="s">
        <v>1370</v>
      </c>
      <c r="C585" s="186" t="s">
        <v>180</v>
      </c>
      <c r="D585" s="185">
        <v>0</v>
      </c>
      <c r="E585" s="185"/>
      <c r="F585" s="185">
        <v>4150</v>
      </c>
      <c r="G585" s="185" t="s">
        <v>357</v>
      </c>
      <c r="H585" s="187"/>
      <c r="I585" s="188"/>
      <c r="J585" s="189">
        <v>193.177777777778</v>
      </c>
    </row>
    <row r="586" spans="1:10">
      <c r="A586" s="185" t="s">
        <v>1375</v>
      </c>
      <c r="B586" s="185" t="s">
        <v>1370</v>
      </c>
      <c r="C586" s="186" t="s">
        <v>180</v>
      </c>
      <c r="D586" s="185">
        <v>0</v>
      </c>
      <c r="E586" s="185"/>
      <c r="F586" s="185">
        <v>4150</v>
      </c>
      <c r="G586" s="185" t="s">
        <v>357</v>
      </c>
      <c r="H586" s="187"/>
      <c r="I586" s="188"/>
      <c r="J586" s="189">
        <v>193.177777777778</v>
      </c>
    </row>
    <row r="587" spans="1:10">
      <c r="A587" s="185" t="s">
        <v>1376</v>
      </c>
      <c r="B587" s="185" t="s">
        <v>1370</v>
      </c>
      <c r="C587" s="186" t="s">
        <v>180</v>
      </c>
      <c r="D587" s="185">
        <v>0</v>
      </c>
      <c r="E587" s="185"/>
      <c r="F587" s="185">
        <v>4150</v>
      </c>
      <c r="G587" s="185" t="s">
        <v>357</v>
      </c>
      <c r="H587" s="187"/>
      <c r="I587" s="188"/>
      <c r="J587" s="189">
        <v>193.177777777778</v>
      </c>
    </row>
    <row r="588" spans="1:10">
      <c r="A588" s="185" t="s">
        <v>1377</v>
      </c>
      <c r="B588" s="185" t="s">
        <v>1370</v>
      </c>
      <c r="C588" s="186" t="s">
        <v>180</v>
      </c>
      <c r="D588" s="185">
        <v>0</v>
      </c>
      <c r="E588" s="185"/>
      <c r="F588" s="185">
        <v>4150</v>
      </c>
      <c r="G588" s="185" t="s">
        <v>357</v>
      </c>
      <c r="H588" s="187"/>
      <c r="I588" s="188"/>
      <c r="J588" s="189">
        <v>193.177777777778</v>
      </c>
    </row>
    <row r="589" spans="1:10">
      <c r="A589" s="185" t="s">
        <v>1378</v>
      </c>
      <c r="B589" s="185" t="s">
        <v>1370</v>
      </c>
      <c r="C589" s="186" t="s">
        <v>180</v>
      </c>
      <c r="D589" s="185">
        <v>0</v>
      </c>
      <c r="E589" s="185"/>
      <c r="F589" s="185">
        <v>4150</v>
      </c>
      <c r="G589" s="185" t="s">
        <v>357</v>
      </c>
      <c r="H589" s="187"/>
      <c r="I589" s="188"/>
      <c r="J589" s="189">
        <v>193.177777777778</v>
      </c>
    </row>
    <row r="590" spans="1:10">
      <c r="A590" s="185" t="s">
        <v>1379</v>
      </c>
      <c r="B590" s="185" t="s">
        <v>1370</v>
      </c>
      <c r="C590" s="186" t="s">
        <v>180</v>
      </c>
      <c r="D590" s="185">
        <v>0</v>
      </c>
      <c r="E590" s="185"/>
      <c r="F590" s="185">
        <v>4150</v>
      </c>
      <c r="G590" s="185" t="s">
        <v>357</v>
      </c>
      <c r="H590" s="187"/>
      <c r="I590" s="188"/>
      <c r="J590" s="189">
        <v>193.177777777778</v>
      </c>
    </row>
    <row r="591" spans="1:10">
      <c r="A591" s="185" t="s">
        <v>1380</v>
      </c>
      <c r="B591" s="185" t="s">
        <v>1370</v>
      </c>
      <c r="C591" s="186" t="s">
        <v>180</v>
      </c>
      <c r="D591" s="185">
        <v>0</v>
      </c>
      <c r="E591" s="185"/>
      <c r="F591" s="185">
        <v>4150</v>
      </c>
      <c r="G591" s="185" t="s">
        <v>357</v>
      </c>
      <c r="H591" s="187"/>
      <c r="I591" s="188"/>
      <c r="J591" s="189">
        <v>193.177777777778</v>
      </c>
    </row>
    <row r="592" spans="1:10">
      <c r="A592" s="185" t="s">
        <v>1381</v>
      </c>
      <c r="B592" s="185" t="s">
        <v>1370</v>
      </c>
      <c r="C592" s="186" t="s">
        <v>180</v>
      </c>
      <c r="D592" s="185">
        <v>0</v>
      </c>
      <c r="E592" s="185"/>
      <c r="F592" s="185">
        <v>4150</v>
      </c>
      <c r="G592" s="185" t="s">
        <v>357</v>
      </c>
      <c r="H592" s="187"/>
      <c r="I592" s="188"/>
      <c r="J592" s="189">
        <v>193.177777777778</v>
      </c>
    </row>
    <row r="593" spans="1:10">
      <c r="A593" s="185" t="s">
        <v>1382</v>
      </c>
      <c r="B593" s="185" t="s">
        <v>1383</v>
      </c>
      <c r="C593" s="186" t="s">
        <v>180</v>
      </c>
      <c r="D593" s="185">
        <v>0</v>
      </c>
      <c r="E593" s="185"/>
      <c r="F593" s="185">
        <v>4150</v>
      </c>
      <c r="G593" s="185" t="s">
        <v>357</v>
      </c>
      <c r="H593" s="187"/>
      <c r="I593" s="188"/>
      <c r="J593" s="189">
        <v>204.86666666666699</v>
      </c>
    </row>
    <row r="594" spans="1:10">
      <c r="A594" s="185" t="s">
        <v>1384</v>
      </c>
      <c r="B594" s="185" t="s">
        <v>1383</v>
      </c>
      <c r="C594" s="186" t="s">
        <v>180</v>
      </c>
      <c r="D594" s="185">
        <v>0</v>
      </c>
      <c r="E594" s="185"/>
      <c r="F594" s="185">
        <v>4150</v>
      </c>
      <c r="G594" s="185" t="s">
        <v>357</v>
      </c>
      <c r="H594" s="187"/>
      <c r="I594" s="188"/>
      <c r="J594" s="189">
        <v>204.86666666666699</v>
      </c>
    </row>
    <row r="595" spans="1:10">
      <c r="A595" s="185" t="s">
        <v>1385</v>
      </c>
      <c r="B595" s="185" t="s">
        <v>1383</v>
      </c>
      <c r="C595" s="186" t="s">
        <v>180</v>
      </c>
      <c r="D595" s="185">
        <v>0</v>
      </c>
      <c r="E595" s="185"/>
      <c r="F595" s="185">
        <v>4150</v>
      </c>
      <c r="G595" s="185" t="s">
        <v>357</v>
      </c>
      <c r="H595" s="187"/>
      <c r="I595" s="188"/>
      <c r="J595" s="189">
        <v>204.86666666666699</v>
      </c>
    </row>
    <row r="596" spans="1:10">
      <c r="A596" s="185" t="s">
        <v>1386</v>
      </c>
      <c r="B596" s="185" t="s">
        <v>1383</v>
      </c>
      <c r="C596" s="186" t="s">
        <v>180</v>
      </c>
      <c r="D596" s="185">
        <v>0</v>
      </c>
      <c r="E596" s="185"/>
      <c r="F596" s="185">
        <v>4150</v>
      </c>
      <c r="G596" s="185" t="s">
        <v>357</v>
      </c>
      <c r="H596" s="187"/>
      <c r="I596" s="188"/>
      <c r="J596" s="189">
        <v>204.86666666666699</v>
      </c>
    </row>
    <row r="597" spans="1:10">
      <c r="A597" s="185" t="s">
        <v>1387</v>
      </c>
      <c r="B597" s="185" t="s">
        <v>1383</v>
      </c>
      <c r="C597" s="186" t="s">
        <v>180</v>
      </c>
      <c r="D597" s="185">
        <v>0</v>
      </c>
      <c r="E597" s="185"/>
      <c r="F597" s="185">
        <v>4150</v>
      </c>
      <c r="G597" s="185" t="s">
        <v>357</v>
      </c>
      <c r="H597" s="187"/>
      <c r="I597" s="188"/>
      <c r="J597" s="189">
        <v>204.86666666666699</v>
      </c>
    </row>
    <row r="598" spans="1:10">
      <c r="A598" s="185" t="s">
        <v>1388</v>
      </c>
      <c r="B598" s="185" t="s">
        <v>1383</v>
      </c>
      <c r="C598" s="186" t="s">
        <v>180</v>
      </c>
      <c r="D598" s="185">
        <v>0</v>
      </c>
      <c r="E598" s="185"/>
      <c r="F598" s="185">
        <v>4150</v>
      </c>
      <c r="G598" s="185" t="s">
        <v>357</v>
      </c>
      <c r="H598" s="187"/>
      <c r="I598" s="188"/>
      <c r="J598" s="189">
        <v>204.86666666666699</v>
      </c>
    </row>
    <row r="599" spans="1:10">
      <c r="A599" s="185" t="s">
        <v>1389</v>
      </c>
      <c r="B599" s="185" t="s">
        <v>1383</v>
      </c>
      <c r="C599" s="186" t="s">
        <v>180</v>
      </c>
      <c r="D599" s="185">
        <v>0</v>
      </c>
      <c r="E599" s="185"/>
      <c r="F599" s="185">
        <v>4150</v>
      </c>
      <c r="G599" s="185" t="s">
        <v>357</v>
      </c>
      <c r="H599" s="187"/>
      <c r="I599" s="188"/>
      <c r="J599" s="189">
        <v>204.86666666666699</v>
      </c>
    </row>
    <row r="600" spans="1:10">
      <c r="A600" s="185" t="s">
        <v>1390</v>
      </c>
      <c r="B600" s="185" t="s">
        <v>1383</v>
      </c>
      <c r="C600" s="186" t="s">
        <v>180</v>
      </c>
      <c r="D600" s="185">
        <v>0</v>
      </c>
      <c r="E600" s="185"/>
      <c r="F600" s="185">
        <v>4150</v>
      </c>
      <c r="G600" s="185" t="s">
        <v>357</v>
      </c>
      <c r="H600" s="187"/>
      <c r="I600" s="188"/>
      <c r="J600" s="189">
        <v>204.86666666666699</v>
      </c>
    </row>
    <row r="601" spans="1:10">
      <c r="A601" s="185" t="s">
        <v>1391</v>
      </c>
      <c r="B601" s="185" t="s">
        <v>1383</v>
      </c>
      <c r="C601" s="186" t="s">
        <v>180</v>
      </c>
      <c r="D601" s="185">
        <v>0</v>
      </c>
      <c r="E601" s="185"/>
      <c r="F601" s="185">
        <v>4150</v>
      </c>
      <c r="G601" s="185" t="s">
        <v>357</v>
      </c>
      <c r="H601" s="187"/>
      <c r="I601" s="188"/>
      <c r="J601" s="189">
        <v>204.86666666666699</v>
      </c>
    </row>
    <row r="602" spans="1:10">
      <c r="A602" s="185" t="s">
        <v>1392</v>
      </c>
      <c r="B602" s="185" t="s">
        <v>1383</v>
      </c>
      <c r="C602" s="186" t="s">
        <v>180</v>
      </c>
      <c r="D602" s="185">
        <v>0</v>
      </c>
      <c r="E602" s="185"/>
      <c r="F602" s="185">
        <v>4150</v>
      </c>
      <c r="G602" s="185" t="s">
        <v>357</v>
      </c>
      <c r="H602" s="187"/>
      <c r="I602" s="188"/>
      <c r="J602" s="189">
        <v>204.86666666666699</v>
      </c>
    </row>
    <row r="603" spans="1:10">
      <c r="A603" s="185" t="s">
        <v>1393</v>
      </c>
      <c r="B603" s="185" t="s">
        <v>1383</v>
      </c>
      <c r="C603" s="186" t="s">
        <v>180</v>
      </c>
      <c r="D603" s="185">
        <v>0</v>
      </c>
      <c r="E603" s="185"/>
      <c r="F603" s="185">
        <v>4150</v>
      </c>
      <c r="G603" s="185" t="s">
        <v>357</v>
      </c>
      <c r="H603" s="187"/>
      <c r="I603" s="188"/>
      <c r="J603" s="189">
        <v>204.86666666666699</v>
      </c>
    </row>
    <row r="604" spans="1:10">
      <c r="A604" s="185" t="s">
        <v>1394</v>
      </c>
      <c r="B604" s="185" t="s">
        <v>1383</v>
      </c>
      <c r="C604" s="186" t="s">
        <v>180</v>
      </c>
      <c r="D604" s="185">
        <v>0</v>
      </c>
      <c r="E604" s="185"/>
      <c r="F604" s="185">
        <v>4150</v>
      </c>
      <c r="G604" s="185" t="s">
        <v>357</v>
      </c>
      <c r="H604" s="187"/>
      <c r="I604" s="188"/>
      <c r="J604" s="189">
        <v>204.86666666666699</v>
      </c>
    </row>
    <row r="605" spans="1:10">
      <c r="A605" s="185" t="s">
        <v>1525</v>
      </c>
      <c r="B605" s="185" t="s">
        <v>1526</v>
      </c>
      <c r="C605" s="186" t="s">
        <v>180</v>
      </c>
      <c r="D605" s="185">
        <v>0</v>
      </c>
      <c r="E605" s="185"/>
      <c r="F605" s="185">
        <v>4150</v>
      </c>
      <c r="G605" s="185" t="s">
        <v>357</v>
      </c>
      <c r="H605" s="187"/>
      <c r="I605" s="188"/>
      <c r="J605" s="189">
        <v>234.08888888888899</v>
      </c>
    </row>
    <row r="606" spans="1:10">
      <c r="A606" s="185" t="s">
        <v>1527</v>
      </c>
      <c r="B606" s="185" t="s">
        <v>1526</v>
      </c>
      <c r="C606" s="186" t="s">
        <v>180</v>
      </c>
      <c r="D606" s="185">
        <v>0</v>
      </c>
      <c r="E606" s="185"/>
      <c r="F606" s="185">
        <v>4150</v>
      </c>
      <c r="G606" s="185" t="s">
        <v>357</v>
      </c>
      <c r="H606" s="187"/>
      <c r="I606" s="188"/>
      <c r="J606" s="189">
        <v>234.08888888888899</v>
      </c>
    </row>
    <row r="607" spans="1:10">
      <c r="A607" s="185" t="s">
        <v>1528</v>
      </c>
      <c r="B607" s="185" t="s">
        <v>1526</v>
      </c>
      <c r="C607" s="186" t="s">
        <v>180</v>
      </c>
      <c r="D607" s="185">
        <v>0</v>
      </c>
      <c r="E607" s="185"/>
      <c r="F607" s="185">
        <v>4150</v>
      </c>
      <c r="G607" s="185" t="s">
        <v>357</v>
      </c>
      <c r="H607" s="187"/>
      <c r="I607" s="188"/>
      <c r="J607" s="189">
        <v>234.08888888888899</v>
      </c>
    </row>
    <row r="608" spans="1:10">
      <c r="A608" s="185" t="s">
        <v>1529</v>
      </c>
      <c r="B608" s="185" t="s">
        <v>1526</v>
      </c>
      <c r="C608" s="186" t="s">
        <v>180</v>
      </c>
      <c r="D608" s="185">
        <v>0</v>
      </c>
      <c r="E608" s="185"/>
      <c r="F608" s="185">
        <v>4150</v>
      </c>
      <c r="G608" s="185" t="s">
        <v>357</v>
      </c>
      <c r="H608" s="187"/>
      <c r="I608" s="188"/>
      <c r="J608" s="189">
        <v>234.08888888888899</v>
      </c>
    </row>
    <row r="609" spans="1:10">
      <c r="A609" s="185" t="s">
        <v>1530</v>
      </c>
      <c r="B609" s="185" t="s">
        <v>1526</v>
      </c>
      <c r="C609" s="186" t="s">
        <v>180</v>
      </c>
      <c r="D609" s="185">
        <v>0</v>
      </c>
      <c r="E609" s="185"/>
      <c r="F609" s="185">
        <v>4150</v>
      </c>
      <c r="G609" s="185" t="s">
        <v>357</v>
      </c>
      <c r="H609" s="187"/>
      <c r="I609" s="188"/>
      <c r="J609" s="189">
        <v>234.08888888888899</v>
      </c>
    </row>
    <row r="610" spans="1:10">
      <c r="A610" s="185" t="s">
        <v>1531</v>
      </c>
      <c r="B610" s="185" t="s">
        <v>1526</v>
      </c>
      <c r="C610" s="186" t="s">
        <v>180</v>
      </c>
      <c r="D610" s="185">
        <v>0</v>
      </c>
      <c r="E610" s="185"/>
      <c r="F610" s="185">
        <v>4150</v>
      </c>
      <c r="G610" s="185" t="s">
        <v>357</v>
      </c>
      <c r="H610" s="187"/>
      <c r="I610" s="188"/>
      <c r="J610" s="189">
        <v>234.08888888888899</v>
      </c>
    </row>
    <row r="611" spans="1:10">
      <c r="A611" s="185" t="s">
        <v>1532</v>
      </c>
      <c r="B611" s="185" t="s">
        <v>1526</v>
      </c>
      <c r="C611" s="186" t="s">
        <v>180</v>
      </c>
      <c r="D611" s="185">
        <v>0</v>
      </c>
      <c r="E611" s="185"/>
      <c r="F611" s="185">
        <v>4150</v>
      </c>
      <c r="G611" s="185" t="s">
        <v>357</v>
      </c>
      <c r="H611" s="187"/>
      <c r="I611" s="188"/>
      <c r="J611" s="189">
        <v>234.08888888888899</v>
      </c>
    </row>
    <row r="612" spans="1:10">
      <c r="A612" s="185" t="s">
        <v>1533</v>
      </c>
      <c r="B612" s="185" t="s">
        <v>1526</v>
      </c>
      <c r="C612" s="186" t="s">
        <v>180</v>
      </c>
      <c r="D612" s="185">
        <v>0</v>
      </c>
      <c r="E612" s="185"/>
      <c r="F612" s="185">
        <v>4150</v>
      </c>
      <c r="G612" s="185" t="s">
        <v>357</v>
      </c>
      <c r="H612" s="187"/>
      <c r="I612" s="188"/>
      <c r="J612" s="189">
        <v>234.08888888888899</v>
      </c>
    </row>
    <row r="613" spans="1:10">
      <c r="A613" s="185" t="s">
        <v>1534</v>
      </c>
      <c r="B613" s="185" t="s">
        <v>1526</v>
      </c>
      <c r="C613" s="186" t="s">
        <v>180</v>
      </c>
      <c r="D613" s="185">
        <v>0</v>
      </c>
      <c r="E613" s="185"/>
      <c r="F613" s="185">
        <v>4150</v>
      </c>
      <c r="G613" s="185" t="s">
        <v>357</v>
      </c>
      <c r="H613" s="187"/>
      <c r="I613" s="188"/>
      <c r="J613" s="189">
        <v>234.08888888888899</v>
      </c>
    </row>
    <row r="614" spans="1:10">
      <c r="A614" s="185" t="s">
        <v>1535</v>
      </c>
      <c r="B614" s="185" t="s">
        <v>1526</v>
      </c>
      <c r="C614" s="186" t="s">
        <v>180</v>
      </c>
      <c r="D614" s="185">
        <v>0</v>
      </c>
      <c r="E614" s="185"/>
      <c r="F614" s="185">
        <v>4150</v>
      </c>
      <c r="G614" s="185" t="s">
        <v>357</v>
      </c>
      <c r="H614" s="187"/>
      <c r="I614" s="188"/>
      <c r="J614" s="189">
        <v>234.08888888888899</v>
      </c>
    </row>
    <row r="615" spans="1:10">
      <c r="A615" s="185" t="s">
        <v>1536</v>
      </c>
      <c r="B615" s="185" t="s">
        <v>1526</v>
      </c>
      <c r="C615" s="186" t="s">
        <v>180</v>
      </c>
      <c r="D615" s="185">
        <v>0</v>
      </c>
      <c r="E615" s="185"/>
      <c r="F615" s="185">
        <v>4150</v>
      </c>
      <c r="G615" s="185" t="s">
        <v>357</v>
      </c>
      <c r="H615" s="187"/>
      <c r="I615" s="188"/>
      <c r="J615" s="189">
        <v>234.08888888888899</v>
      </c>
    </row>
    <row r="616" spans="1:10">
      <c r="A616" s="185" t="s">
        <v>1537</v>
      </c>
      <c r="B616" s="185" t="s">
        <v>1526</v>
      </c>
      <c r="C616" s="186" t="s">
        <v>180</v>
      </c>
      <c r="D616" s="185">
        <v>0</v>
      </c>
      <c r="E616" s="185"/>
      <c r="F616" s="185">
        <v>4150</v>
      </c>
      <c r="G616" s="185" t="s">
        <v>357</v>
      </c>
      <c r="H616" s="187"/>
      <c r="I616" s="188"/>
      <c r="J616" s="189">
        <v>234.08888888888899</v>
      </c>
    </row>
    <row r="617" spans="1:10">
      <c r="A617" s="185" t="s">
        <v>1395</v>
      </c>
      <c r="B617" s="185" t="s">
        <v>1579</v>
      </c>
      <c r="C617" s="186" t="s">
        <v>180</v>
      </c>
      <c r="D617" s="185">
        <v>0</v>
      </c>
      <c r="E617" s="185"/>
      <c r="F617" s="185">
        <v>4150</v>
      </c>
      <c r="G617" s="185" t="s">
        <v>357</v>
      </c>
      <c r="H617" s="187"/>
      <c r="I617" s="188"/>
      <c r="J617" s="189">
        <v>97.844444444444505</v>
      </c>
    </row>
    <row r="618" spans="1:10">
      <c r="A618" s="185" t="s">
        <v>1396</v>
      </c>
      <c r="B618" s="185" t="s">
        <v>1580</v>
      </c>
      <c r="C618" s="186" t="s">
        <v>180</v>
      </c>
      <c r="D618" s="185">
        <v>0</v>
      </c>
      <c r="E618" s="185"/>
      <c r="F618" s="185">
        <v>4150</v>
      </c>
      <c r="G618" s="185" t="s">
        <v>357</v>
      </c>
      <c r="H618" s="187"/>
      <c r="I618" s="188"/>
      <c r="J618" s="189">
        <v>165.177777777778</v>
      </c>
    </row>
    <row r="619" spans="1:10">
      <c r="A619" s="185" t="s">
        <v>1397</v>
      </c>
      <c r="B619" s="185" t="s">
        <v>1581</v>
      </c>
      <c r="C619" s="186" t="s">
        <v>180</v>
      </c>
      <c r="D619" s="185">
        <v>0</v>
      </c>
      <c r="E619" s="185"/>
      <c r="F619" s="185">
        <v>4150</v>
      </c>
      <c r="G619" s="185" t="s">
        <v>357</v>
      </c>
      <c r="H619" s="187"/>
      <c r="I619" s="188"/>
      <c r="J619" s="189">
        <v>199.822222222222</v>
      </c>
    </row>
    <row r="620" spans="1:10">
      <c r="A620" s="185" t="s">
        <v>1578</v>
      </c>
      <c r="B620" s="185" t="s">
        <v>1582</v>
      </c>
      <c r="C620" s="186" t="s">
        <v>180</v>
      </c>
      <c r="D620" s="185">
        <v>0</v>
      </c>
      <c r="E620" s="185"/>
      <c r="F620" s="185">
        <v>4150</v>
      </c>
      <c r="G620" s="185" t="s">
        <v>357</v>
      </c>
      <c r="H620" s="187"/>
      <c r="I620" s="188"/>
      <c r="J620" s="189">
        <v>239.53333333333299</v>
      </c>
    </row>
    <row r="621" spans="1:10">
      <c r="A621" s="185" t="s">
        <v>1398</v>
      </c>
      <c r="B621" s="185" t="s">
        <v>1583</v>
      </c>
      <c r="C621" s="186" t="s">
        <v>180</v>
      </c>
      <c r="D621" s="185">
        <v>0</v>
      </c>
      <c r="E621" s="185"/>
      <c r="F621" s="185">
        <v>4150</v>
      </c>
      <c r="G621" s="185" t="s">
        <v>357</v>
      </c>
      <c r="H621" s="187"/>
      <c r="I621" s="188"/>
      <c r="J621" s="189">
        <v>317.777777777778</v>
      </c>
    </row>
    <row r="622" spans="1:10">
      <c r="A622" s="185" t="s">
        <v>1399</v>
      </c>
      <c r="B622" s="185" t="s">
        <v>1584</v>
      </c>
      <c r="C622" s="186" t="s">
        <v>180</v>
      </c>
      <c r="D622" s="185">
        <v>0</v>
      </c>
      <c r="E622" s="185"/>
      <c r="F622" s="185">
        <v>4150</v>
      </c>
      <c r="G622" s="185" t="s">
        <v>357</v>
      </c>
      <c r="H622" s="187"/>
      <c r="I622" s="188"/>
      <c r="J622" s="189">
        <v>317.777777777778</v>
      </c>
    </row>
    <row r="623" spans="1:10">
      <c r="A623" s="185" t="s">
        <v>1400</v>
      </c>
      <c r="B623" s="185" t="s">
        <v>1401</v>
      </c>
      <c r="C623" s="186" t="s">
        <v>180</v>
      </c>
      <c r="D623" s="185">
        <v>0</v>
      </c>
      <c r="E623" s="185"/>
      <c r="F623" s="185">
        <v>4150</v>
      </c>
      <c r="G623" s="185" t="s">
        <v>347</v>
      </c>
      <c r="H623" s="187"/>
      <c r="I623" s="188"/>
      <c r="J623" s="189">
        <v>2.2000000000000002</v>
      </c>
    </row>
    <row r="624" spans="1:10">
      <c r="A624" s="185" t="s">
        <v>1402</v>
      </c>
      <c r="B624" s="185" t="s">
        <v>1403</v>
      </c>
      <c r="C624" s="186" t="s">
        <v>180</v>
      </c>
      <c r="D624" s="185">
        <v>0</v>
      </c>
      <c r="E624" s="185"/>
      <c r="F624" s="185">
        <v>4150</v>
      </c>
      <c r="G624" s="185" t="s">
        <v>347</v>
      </c>
      <c r="H624" s="187"/>
      <c r="I624" s="188"/>
      <c r="J624" s="189">
        <v>0.46666666666666701</v>
      </c>
    </row>
    <row r="625" spans="1:10">
      <c r="A625" s="185" t="s">
        <v>1404</v>
      </c>
      <c r="B625" s="185" t="s">
        <v>1405</v>
      </c>
      <c r="C625" s="186" t="s">
        <v>180</v>
      </c>
      <c r="D625" s="185">
        <v>0</v>
      </c>
      <c r="E625" s="185"/>
      <c r="F625" s="185">
        <v>4150</v>
      </c>
      <c r="G625" s="185" t="s">
        <v>512</v>
      </c>
      <c r="H625" s="187"/>
      <c r="I625" s="188"/>
      <c r="J625" s="189">
        <v>0</v>
      </c>
    </row>
    <row r="626" spans="1:10">
      <c r="A626" s="185" t="s">
        <v>1406</v>
      </c>
      <c r="B626" s="185" t="s">
        <v>1407</v>
      </c>
      <c r="C626" s="186" t="s">
        <v>180</v>
      </c>
      <c r="D626" s="185">
        <v>0</v>
      </c>
      <c r="E626" s="185"/>
      <c r="F626" s="185">
        <v>4150</v>
      </c>
      <c r="G626" s="185" t="s">
        <v>512</v>
      </c>
      <c r="H626" s="187"/>
      <c r="I626" s="188"/>
      <c r="J626" s="189">
        <v>0</v>
      </c>
    </row>
    <row r="627" spans="1:10">
      <c r="A627" s="185" t="s">
        <v>1408</v>
      </c>
      <c r="B627" s="185" t="s">
        <v>1409</v>
      </c>
      <c r="C627" s="186" t="s">
        <v>180</v>
      </c>
      <c r="D627" s="185">
        <v>0</v>
      </c>
      <c r="E627" s="185"/>
      <c r="F627" s="185">
        <v>2150</v>
      </c>
      <c r="G627" s="185" t="s">
        <v>352</v>
      </c>
      <c r="H627" s="187"/>
      <c r="I627" s="188"/>
      <c r="J627" s="189">
        <v>11.25</v>
      </c>
    </row>
    <row r="628" spans="1:10">
      <c r="A628" s="185" t="s">
        <v>1410</v>
      </c>
      <c r="B628" s="185" t="s">
        <v>1411</v>
      </c>
      <c r="C628" s="186" t="s">
        <v>180</v>
      </c>
      <c r="D628" s="185" t="s">
        <v>634</v>
      </c>
      <c r="E628" s="185"/>
      <c r="F628" s="185">
        <v>2150</v>
      </c>
      <c r="G628" s="185" t="s">
        <v>352</v>
      </c>
      <c r="H628" s="187"/>
      <c r="I628" s="188"/>
      <c r="J628" s="189">
        <v>249.75</v>
      </c>
    </row>
    <row r="629" spans="1:10">
      <c r="A629" s="185" t="s">
        <v>1412</v>
      </c>
      <c r="B629" s="185" t="s">
        <v>1413</v>
      </c>
      <c r="C629" s="186" t="s">
        <v>180</v>
      </c>
      <c r="D629" s="185">
        <v>0</v>
      </c>
      <c r="E629" s="185"/>
      <c r="F629" s="185">
        <v>4150</v>
      </c>
      <c r="G629" s="185" t="s">
        <v>347</v>
      </c>
      <c r="H629" s="187"/>
      <c r="I629" s="188"/>
      <c r="J629" s="189">
        <v>0.41666666666666702</v>
      </c>
    </row>
    <row r="630" spans="1:10">
      <c r="A630" s="185" t="s">
        <v>1414</v>
      </c>
      <c r="B630" s="185" t="s">
        <v>1248</v>
      </c>
      <c r="C630" s="186" t="s">
        <v>180</v>
      </c>
      <c r="D630" s="185">
        <v>0</v>
      </c>
      <c r="E630" s="185"/>
      <c r="F630" s="185">
        <v>4150</v>
      </c>
      <c r="G630" s="185" t="s">
        <v>347</v>
      </c>
      <c r="H630" s="187"/>
      <c r="I630" s="188"/>
      <c r="J630" s="189">
        <v>2.6333333333333302</v>
      </c>
    </row>
    <row r="631" spans="1:10">
      <c r="A631" s="185" t="s">
        <v>1415</v>
      </c>
      <c r="B631" s="185" t="s">
        <v>1416</v>
      </c>
      <c r="C631" s="186" t="s">
        <v>180</v>
      </c>
      <c r="D631" s="185">
        <v>0</v>
      </c>
      <c r="E631" s="185"/>
      <c r="F631" s="185">
        <v>4150</v>
      </c>
      <c r="G631" s="185" t="s">
        <v>347</v>
      </c>
      <c r="H631" s="187"/>
      <c r="I631" s="188"/>
      <c r="J631" s="189">
        <v>1.36666666666667</v>
      </c>
    </row>
    <row r="632" spans="1:10">
      <c r="A632" s="185" t="s">
        <v>1417</v>
      </c>
      <c r="B632" s="185" t="s">
        <v>1418</v>
      </c>
      <c r="C632" s="186" t="s">
        <v>176</v>
      </c>
      <c r="D632" s="185">
        <v>0</v>
      </c>
      <c r="E632" s="185" t="s">
        <v>365</v>
      </c>
      <c r="F632" s="185">
        <v>2100</v>
      </c>
      <c r="G632" s="185" t="s">
        <v>419</v>
      </c>
      <c r="H632" s="187"/>
      <c r="I632" s="188"/>
      <c r="J632" s="189">
        <v>0.3</v>
      </c>
    </row>
    <row r="633" spans="1:10">
      <c r="A633" s="185" t="s">
        <v>1419</v>
      </c>
      <c r="B633" s="185" t="s">
        <v>1420</v>
      </c>
      <c r="C633" s="186" t="s">
        <v>180</v>
      </c>
      <c r="D633" s="185">
        <v>0</v>
      </c>
      <c r="E633" s="185"/>
      <c r="F633" s="185">
        <v>4150</v>
      </c>
      <c r="G633" s="185" t="s">
        <v>347</v>
      </c>
      <c r="H633" s="187"/>
      <c r="I633" s="188"/>
      <c r="J633" s="189">
        <v>0.2</v>
      </c>
    </row>
    <row r="634" spans="1:10">
      <c r="A634" s="185" t="s">
        <v>1421</v>
      </c>
      <c r="B634" s="185" t="s">
        <v>1422</v>
      </c>
      <c r="C634" s="186" t="s">
        <v>176</v>
      </c>
      <c r="D634" s="185">
        <v>0</v>
      </c>
      <c r="E634" s="185" t="s">
        <v>365</v>
      </c>
      <c r="F634" s="185">
        <v>2100</v>
      </c>
      <c r="G634" s="185" t="s">
        <v>419</v>
      </c>
      <c r="H634" s="187"/>
      <c r="I634" s="188"/>
      <c r="J634" s="189">
        <v>0.3</v>
      </c>
    </row>
    <row r="635" spans="1:10">
      <c r="A635" s="185" t="s">
        <v>1423</v>
      </c>
      <c r="B635" s="185" t="s">
        <v>1424</v>
      </c>
      <c r="C635" s="186" t="s">
        <v>176</v>
      </c>
      <c r="D635" s="185">
        <v>0</v>
      </c>
      <c r="E635" s="185" t="s">
        <v>365</v>
      </c>
      <c r="F635" s="185">
        <v>2100</v>
      </c>
      <c r="G635" s="185" t="s">
        <v>419</v>
      </c>
      <c r="H635" s="187"/>
      <c r="I635" s="188"/>
      <c r="J635" s="189">
        <v>0.3</v>
      </c>
    </row>
    <row r="636" spans="1:10">
      <c r="A636" s="185" t="s">
        <v>1425</v>
      </c>
      <c r="B636" s="185" t="s">
        <v>1426</v>
      </c>
      <c r="C636" s="186" t="s">
        <v>176</v>
      </c>
      <c r="D636" s="185">
        <v>0</v>
      </c>
      <c r="E636" s="185" t="s">
        <v>365</v>
      </c>
      <c r="F636" s="185">
        <v>2100</v>
      </c>
      <c r="G636" s="185" t="s">
        <v>419</v>
      </c>
      <c r="H636" s="187"/>
      <c r="I636" s="188"/>
      <c r="J636" s="189">
        <v>0.3</v>
      </c>
    </row>
    <row r="637" spans="1:10">
      <c r="A637" s="185" t="s">
        <v>1427</v>
      </c>
      <c r="B637" s="185" t="s">
        <v>1428</v>
      </c>
      <c r="C637" s="186" t="s">
        <v>180</v>
      </c>
      <c r="D637" s="185">
        <v>0</v>
      </c>
      <c r="E637" s="185"/>
      <c r="F637" s="185">
        <v>4150</v>
      </c>
      <c r="G637" s="185" t="s">
        <v>347</v>
      </c>
      <c r="H637" s="187"/>
      <c r="I637" s="188"/>
      <c r="J637" s="189">
        <v>33.549999999999997</v>
      </c>
    </row>
    <row r="638" spans="1:10">
      <c r="A638" s="185" t="s">
        <v>1429</v>
      </c>
      <c r="B638" s="185" t="s">
        <v>1430</v>
      </c>
      <c r="C638" s="186" t="s">
        <v>180</v>
      </c>
      <c r="D638" s="185">
        <v>0</v>
      </c>
      <c r="E638" s="185"/>
      <c r="F638" s="185">
        <v>2150</v>
      </c>
      <c r="G638" s="185" t="s">
        <v>352</v>
      </c>
      <c r="H638" s="187"/>
      <c r="I638" s="188"/>
      <c r="J638" s="189">
        <v>58.3333333333333</v>
      </c>
    </row>
    <row r="639" spans="1:10">
      <c r="A639" s="185" t="s">
        <v>1431</v>
      </c>
      <c r="B639" s="185" t="s">
        <v>1432</v>
      </c>
      <c r="C639" s="186" t="s">
        <v>180</v>
      </c>
      <c r="D639" s="185">
        <v>0</v>
      </c>
      <c r="E639" s="185"/>
      <c r="F639" s="185">
        <v>2150</v>
      </c>
      <c r="G639" s="185" t="s">
        <v>352</v>
      </c>
      <c r="H639" s="187"/>
      <c r="I639" s="188"/>
      <c r="J639" s="189">
        <v>3.6666666666666701</v>
      </c>
    </row>
    <row r="640" spans="1:10">
      <c r="A640" s="185" t="s">
        <v>1433</v>
      </c>
      <c r="B640" s="185" t="s">
        <v>1434</v>
      </c>
      <c r="C640" s="186" t="s">
        <v>180</v>
      </c>
      <c r="D640" s="185">
        <v>0</v>
      </c>
      <c r="E640" s="185"/>
      <c r="F640" s="185">
        <v>2150</v>
      </c>
      <c r="G640" s="185" t="s">
        <v>352</v>
      </c>
      <c r="H640" s="187"/>
      <c r="I640" s="188"/>
      <c r="J640" s="189">
        <v>33.3333333333333</v>
      </c>
    </row>
    <row r="641" spans="1:10">
      <c r="A641" s="185" t="s">
        <v>1435</v>
      </c>
      <c r="B641" s="185" t="s">
        <v>1436</v>
      </c>
      <c r="C641" s="186" t="s">
        <v>180</v>
      </c>
      <c r="D641" s="185">
        <v>0</v>
      </c>
      <c r="E641" s="185"/>
      <c r="F641" s="185">
        <v>4150</v>
      </c>
      <c r="G641" s="185" t="s">
        <v>374</v>
      </c>
      <c r="H641" s="187"/>
      <c r="I641" s="188"/>
      <c r="J641" s="189">
        <v>984</v>
      </c>
    </row>
    <row r="642" spans="1:10">
      <c r="A642" s="185" t="s">
        <v>1437</v>
      </c>
      <c r="B642" s="185" t="s">
        <v>1438</v>
      </c>
      <c r="C642" s="186" t="s">
        <v>180</v>
      </c>
      <c r="D642" s="185">
        <v>0</v>
      </c>
      <c r="E642" s="185"/>
      <c r="F642" s="185">
        <v>4150</v>
      </c>
      <c r="G642" s="185" t="s">
        <v>374</v>
      </c>
      <c r="H642" s="187"/>
      <c r="I642" s="188"/>
      <c r="J642" s="189">
        <v>0</v>
      </c>
    </row>
    <row r="643" spans="1:10">
      <c r="A643" s="185" t="s">
        <v>1439</v>
      </c>
      <c r="B643" s="185" t="s">
        <v>1440</v>
      </c>
      <c r="C643" s="186" t="s">
        <v>180</v>
      </c>
      <c r="D643" s="185">
        <v>0</v>
      </c>
      <c r="E643" s="185"/>
      <c r="F643" s="185">
        <v>4150</v>
      </c>
      <c r="G643" s="185" t="s">
        <v>374</v>
      </c>
      <c r="H643" s="187"/>
      <c r="I643" s="188"/>
      <c r="J643" s="189">
        <v>1045.7142857142901</v>
      </c>
    </row>
    <row r="644" spans="1:10">
      <c r="A644" s="185" t="s">
        <v>1441</v>
      </c>
      <c r="B644" s="185" t="s">
        <v>1442</v>
      </c>
      <c r="C644" s="186" t="s">
        <v>180</v>
      </c>
      <c r="D644" s="185">
        <v>0</v>
      </c>
      <c r="E644" s="185"/>
      <c r="F644" s="185">
        <v>4150</v>
      </c>
      <c r="G644" s="185" t="s">
        <v>374</v>
      </c>
      <c r="H644" s="187"/>
      <c r="I644" s="188"/>
      <c r="J644" s="189">
        <v>0</v>
      </c>
    </row>
    <row r="645" spans="1:10">
      <c r="A645" s="185" t="s">
        <v>1443</v>
      </c>
      <c r="B645" s="185" t="s">
        <v>1444</v>
      </c>
      <c r="C645" s="186" t="s">
        <v>180</v>
      </c>
      <c r="D645" s="185">
        <v>0</v>
      </c>
      <c r="E645" s="185"/>
      <c r="F645" s="185">
        <v>4150</v>
      </c>
      <c r="G645" s="185" t="s">
        <v>374</v>
      </c>
      <c r="H645" s="187"/>
      <c r="I645" s="188"/>
      <c r="J645" s="189">
        <v>60.414285714285697</v>
      </c>
    </row>
    <row r="646" spans="1:10">
      <c r="A646" s="185" t="s">
        <v>1445</v>
      </c>
      <c r="B646" s="185" t="s">
        <v>1446</v>
      </c>
      <c r="C646" s="186" t="s">
        <v>180</v>
      </c>
      <c r="D646" s="185">
        <v>0</v>
      </c>
      <c r="E646" s="185"/>
      <c r="F646" s="185">
        <v>4150</v>
      </c>
      <c r="G646" s="185" t="s">
        <v>374</v>
      </c>
      <c r="H646" s="187"/>
      <c r="I646" s="188"/>
      <c r="J646" s="189">
        <v>142.857142857143</v>
      </c>
    </row>
    <row r="647" spans="1:10">
      <c r="A647" s="185" t="s">
        <v>1447</v>
      </c>
      <c r="B647" s="185" t="s">
        <v>1617</v>
      </c>
      <c r="C647" s="186" t="s">
        <v>180</v>
      </c>
      <c r="D647" s="185">
        <v>0</v>
      </c>
      <c r="E647" s="185"/>
      <c r="F647" s="185">
        <v>4150</v>
      </c>
      <c r="G647" s="185" t="s">
        <v>374</v>
      </c>
      <c r="H647" s="187"/>
      <c r="I647" s="188"/>
      <c r="J647" s="189">
        <v>15.1428571428571</v>
      </c>
    </row>
    <row r="648" spans="1:10">
      <c r="A648" s="185" t="s">
        <v>1448</v>
      </c>
      <c r="B648" s="185" t="s">
        <v>1618</v>
      </c>
      <c r="C648" s="186" t="s">
        <v>180</v>
      </c>
      <c r="D648" s="185">
        <v>0</v>
      </c>
      <c r="E648" s="185"/>
      <c r="F648" s="185">
        <v>4150</v>
      </c>
      <c r="G648" s="185" t="s">
        <v>374</v>
      </c>
      <c r="H648" s="187"/>
      <c r="I648" s="188"/>
      <c r="J648" s="189">
        <v>3.9714285714285702</v>
      </c>
    </row>
    <row r="649" spans="1:10">
      <c r="A649" s="185" t="s">
        <v>1449</v>
      </c>
      <c r="B649" s="185" t="s">
        <v>1450</v>
      </c>
      <c r="C649" s="186" t="s">
        <v>180</v>
      </c>
      <c r="D649" s="185">
        <v>0</v>
      </c>
      <c r="E649" s="185"/>
      <c r="F649" s="185">
        <v>4150</v>
      </c>
      <c r="G649" s="185" t="s">
        <v>374</v>
      </c>
      <c r="H649" s="187"/>
      <c r="I649" s="188"/>
      <c r="J649" s="189">
        <v>15.1428571428571</v>
      </c>
    </row>
    <row r="650" spans="1:10">
      <c r="A650" s="185" t="s">
        <v>1451</v>
      </c>
      <c r="B650" s="185" t="s">
        <v>1452</v>
      </c>
      <c r="C650" s="186" t="s">
        <v>176</v>
      </c>
      <c r="D650" s="185">
        <v>0</v>
      </c>
      <c r="E650" s="185" t="s">
        <v>365</v>
      </c>
      <c r="F650" s="185">
        <v>4200</v>
      </c>
      <c r="G650" s="185" t="s">
        <v>408</v>
      </c>
      <c r="H650" s="187"/>
      <c r="I650" s="188"/>
      <c r="J650" s="189">
        <v>0.6</v>
      </c>
    </row>
    <row r="651" spans="1:10">
      <c r="A651" s="185" t="s">
        <v>1453</v>
      </c>
      <c r="B651" s="185" t="s">
        <v>1454</v>
      </c>
      <c r="C651" s="186" t="s">
        <v>176</v>
      </c>
      <c r="D651" s="185">
        <v>0</v>
      </c>
      <c r="E651" s="185" t="s">
        <v>365</v>
      </c>
      <c r="F651" s="185">
        <v>4200</v>
      </c>
      <c r="G651" s="185" t="s">
        <v>408</v>
      </c>
      <c r="H651" s="187"/>
      <c r="I651" s="188"/>
      <c r="J651" s="189">
        <v>0.6</v>
      </c>
    </row>
    <row r="652" spans="1:10">
      <c r="A652" s="185" t="s">
        <v>1455</v>
      </c>
      <c r="B652" s="185" t="s">
        <v>1456</v>
      </c>
      <c r="C652" s="186" t="s">
        <v>176</v>
      </c>
      <c r="D652" s="185">
        <v>0</v>
      </c>
      <c r="E652" s="185" t="s">
        <v>365</v>
      </c>
      <c r="F652" s="185">
        <v>4200</v>
      </c>
      <c r="G652" s="185" t="s">
        <v>408</v>
      </c>
      <c r="H652" s="187"/>
      <c r="I652" s="188"/>
      <c r="J652" s="189">
        <v>0.6</v>
      </c>
    </row>
    <row r="653" spans="1:10">
      <c r="A653" s="185" t="s">
        <v>1457</v>
      </c>
      <c r="B653" s="185" t="s">
        <v>1458</v>
      </c>
      <c r="C653" s="186" t="s">
        <v>176</v>
      </c>
      <c r="D653" s="185">
        <v>0</v>
      </c>
      <c r="E653" s="185" t="s">
        <v>365</v>
      </c>
      <c r="F653" s="185">
        <v>4100</v>
      </c>
      <c r="G653" s="185" t="s">
        <v>374</v>
      </c>
      <c r="H653" s="187"/>
      <c r="I653" s="188"/>
      <c r="J653" s="189">
        <v>0.3</v>
      </c>
    </row>
    <row r="654" spans="1:10">
      <c r="A654" s="185" t="s">
        <v>1459</v>
      </c>
      <c r="B654" s="185" t="s">
        <v>1460</v>
      </c>
      <c r="C654" s="186" t="s">
        <v>180</v>
      </c>
      <c r="D654" s="185">
        <v>0</v>
      </c>
      <c r="E654" s="185"/>
      <c r="F654" s="185">
        <v>4150</v>
      </c>
      <c r="G654" s="185" t="s">
        <v>374</v>
      </c>
      <c r="H654" s="187"/>
      <c r="I654" s="188"/>
      <c r="J654" s="189">
        <v>15.228571428571399</v>
      </c>
    </row>
    <row r="655" spans="1:10">
      <c r="A655" s="185" t="s">
        <v>1461</v>
      </c>
      <c r="B655" s="185" t="s">
        <v>1462</v>
      </c>
      <c r="C655" s="186" t="s">
        <v>180</v>
      </c>
      <c r="D655" s="185">
        <v>0</v>
      </c>
      <c r="E655" s="185"/>
      <c r="F655" s="185">
        <v>4150</v>
      </c>
      <c r="G655" s="185" t="s">
        <v>374</v>
      </c>
      <c r="H655" s="187"/>
      <c r="I655" s="188"/>
      <c r="J655" s="189">
        <v>16.2</v>
      </c>
    </row>
    <row r="656" spans="1:10">
      <c r="A656" s="185" t="s">
        <v>1463</v>
      </c>
      <c r="B656" s="185" t="s">
        <v>1619</v>
      </c>
      <c r="C656" s="186" t="s">
        <v>180</v>
      </c>
      <c r="D656" s="185">
        <v>0</v>
      </c>
      <c r="E656" s="185"/>
      <c r="F656" s="185">
        <v>4150</v>
      </c>
      <c r="G656" s="185" t="s">
        <v>374</v>
      </c>
      <c r="H656" s="187"/>
      <c r="I656" s="188"/>
      <c r="J656" s="189">
        <v>48.028571428571396</v>
      </c>
    </row>
    <row r="657" spans="1:10">
      <c r="A657" s="185" t="s">
        <v>1464</v>
      </c>
      <c r="B657" s="185" t="s">
        <v>1465</v>
      </c>
      <c r="C657" s="186" t="s">
        <v>180</v>
      </c>
      <c r="D657" s="185">
        <v>0</v>
      </c>
      <c r="E657" s="185"/>
      <c r="F657" s="185">
        <v>4150</v>
      </c>
      <c r="G657" s="185" t="s">
        <v>374</v>
      </c>
      <c r="H657" s="187"/>
      <c r="I657" s="188"/>
      <c r="J657" s="189">
        <v>16.5</v>
      </c>
    </row>
    <row r="658" spans="1:10">
      <c r="A658" s="185" t="s">
        <v>1466</v>
      </c>
      <c r="B658" s="185" t="s">
        <v>1467</v>
      </c>
      <c r="C658" s="186" t="s">
        <v>180</v>
      </c>
      <c r="D658" s="185">
        <v>0</v>
      </c>
      <c r="E658" s="185"/>
      <c r="F658" s="185">
        <v>4150</v>
      </c>
      <c r="G658" s="185" t="s">
        <v>357</v>
      </c>
      <c r="H658" s="187"/>
      <c r="I658" s="188"/>
      <c r="J658" s="189">
        <v>0.22222222222222199</v>
      </c>
    </row>
    <row r="659" spans="1:10">
      <c r="A659" s="185" t="s">
        <v>1468</v>
      </c>
      <c r="B659" s="185" t="s">
        <v>1469</v>
      </c>
      <c r="C659" s="186" t="s">
        <v>180</v>
      </c>
      <c r="D659" s="185">
        <v>0</v>
      </c>
      <c r="E659" s="185"/>
      <c r="F659" s="185">
        <v>2150</v>
      </c>
      <c r="G659" s="185" t="s">
        <v>352</v>
      </c>
      <c r="H659" s="187"/>
      <c r="I659" s="188"/>
      <c r="J659" s="189">
        <v>13.3333333333333</v>
      </c>
    </row>
    <row r="660" spans="1:10">
      <c r="A660" s="185" t="s">
        <v>1470</v>
      </c>
      <c r="B660" s="185" t="s">
        <v>1471</v>
      </c>
      <c r="C660" s="186" t="s">
        <v>180</v>
      </c>
      <c r="D660" s="185">
        <v>0</v>
      </c>
      <c r="E660" s="185"/>
      <c r="F660" s="185">
        <v>2150</v>
      </c>
      <c r="G660" s="185" t="s">
        <v>352</v>
      </c>
      <c r="H660" s="187"/>
      <c r="I660" s="188"/>
      <c r="J660" s="189">
        <v>11.633333333333301</v>
      </c>
    </row>
    <row r="661" spans="1:10">
      <c r="A661" s="185" t="s">
        <v>1665</v>
      </c>
      <c r="B661" s="185" t="s">
        <v>1666</v>
      </c>
      <c r="C661" s="186" t="s">
        <v>176</v>
      </c>
      <c r="D661" s="185" t="s">
        <v>360</v>
      </c>
      <c r="E661" s="185" t="s">
        <v>336</v>
      </c>
      <c r="F661" s="185">
        <v>2100</v>
      </c>
      <c r="G661" s="185" t="s">
        <v>419</v>
      </c>
      <c r="H661" s="187"/>
      <c r="I661" s="188"/>
      <c r="J661" s="189">
        <v>0.3</v>
      </c>
    </row>
    <row r="662" spans="1:10">
      <c r="A662" s="185" t="s">
        <v>1667</v>
      </c>
      <c r="B662" s="185" t="s">
        <v>1668</v>
      </c>
      <c r="C662" s="186" t="s">
        <v>176</v>
      </c>
      <c r="D662" s="185">
        <v>0</v>
      </c>
      <c r="E662" s="185" t="s">
        <v>336</v>
      </c>
      <c r="F662" s="185">
        <v>2100</v>
      </c>
      <c r="G662" s="185" t="s">
        <v>419</v>
      </c>
      <c r="H662" s="187"/>
      <c r="I662" s="188"/>
      <c r="J662" s="189">
        <v>0.3</v>
      </c>
    </row>
    <row r="663" spans="1:10">
      <c r="A663" s="185" t="s">
        <v>1669</v>
      </c>
      <c r="B663" s="185" t="s">
        <v>1670</v>
      </c>
      <c r="C663" s="186" t="s">
        <v>180</v>
      </c>
      <c r="D663" s="185">
        <v>0</v>
      </c>
      <c r="E663" s="185"/>
      <c r="F663" s="185">
        <v>4150</v>
      </c>
      <c r="G663" s="185" t="s">
        <v>374</v>
      </c>
      <c r="H663" s="187"/>
      <c r="I663" s="188"/>
      <c r="J663" s="189">
        <v>12.671428571428599</v>
      </c>
    </row>
    <row r="664" spans="1:10">
      <c r="A664" s="185" t="s">
        <v>1671</v>
      </c>
      <c r="B664" s="185" t="s">
        <v>1672</v>
      </c>
      <c r="C664" s="186" t="s">
        <v>180</v>
      </c>
      <c r="D664" s="185">
        <v>0</v>
      </c>
      <c r="E664" s="185"/>
      <c r="F664" s="185">
        <v>4150</v>
      </c>
      <c r="G664" s="185" t="s">
        <v>374</v>
      </c>
      <c r="H664" s="187"/>
      <c r="I664" s="188"/>
      <c r="J664" s="189">
        <v>4.0714285714285703</v>
      </c>
    </row>
    <row r="665" spans="1:10">
      <c r="A665" s="185" t="s">
        <v>1673</v>
      </c>
      <c r="B665" s="185" t="s">
        <v>689</v>
      </c>
      <c r="C665" s="186" t="s">
        <v>180</v>
      </c>
      <c r="D665" s="185">
        <v>0</v>
      </c>
      <c r="E665" s="185"/>
      <c r="F665" s="185">
        <v>4150</v>
      </c>
      <c r="G665" s="185" t="s">
        <v>374</v>
      </c>
      <c r="H665" s="187"/>
      <c r="I665" s="188"/>
      <c r="J665" s="189">
        <v>33.6142857142857</v>
      </c>
    </row>
    <row r="666" spans="1:10">
      <c r="A666" s="185" t="s">
        <v>1674</v>
      </c>
      <c r="B666" s="185" t="s">
        <v>427</v>
      </c>
      <c r="C666" s="186" t="s">
        <v>180</v>
      </c>
      <c r="D666" s="185">
        <v>0</v>
      </c>
      <c r="E666" s="185"/>
      <c r="F666" s="185">
        <v>4150</v>
      </c>
      <c r="G666" s="185" t="s">
        <v>374</v>
      </c>
      <c r="H666" s="187"/>
      <c r="I666" s="188"/>
      <c r="J666" s="189">
        <v>10.7</v>
      </c>
    </row>
    <row r="667" spans="1:10">
      <c r="A667" s="185" t="s">
        <v>1675</v>
      </c>
      <c r="B667" s="185" t="s">
        <v>1676</v>
      </c>
      <c r="C667" s="186" t="s">
        <v>180</v>
      </c>
      <c r="D667" s="185">
        <v>0</v>
      </c>
      <c r="E667" s="185"/>
      <c r="F667" s="185">
        <v>4150</v>
      </c>
      <c r="G667" s="185" t="s">
        <v>374</v>
      </c>
      <c r="H667" s="187"/>
      <c r="I667" s="188"/>
      <c r="J667" s="189">
        <v>17.5571428571429</v>
      </c>
    </row>
    <row r="668" spans="1:10">
      <c r="A668" s="185" t="s">
        <v>1723</v>
      </c>
      <c r="B668" s="185" t="s">
        <v>1727</v>
      </c>
      <c r="C668" s="186" t="s">
        <v>180</v>
      </c>
      <c r="D668" s="185" t="s">
        <v>360</v>
      </c>
      <c r="E668" s="185"/>
      <c r="F668" s="185">
        <v>2150</v>
      </c>
      <c r="G668" s="185" t="s">
        <v>352</v>
      </c>
      <c r="H668" s="187"/>
      <c r="I668" s="188"/>
      <c r="J668" s="189">
        <v>20.95</v>
      </c>
    </row>
    <row r="669" spans="1:10">
      <c r="A669" s="185" t="s">
        <v>1724</v>
      </c>
      <c r="B669" s="185" t="s">
        <v>1726</v>
      </c>
      <c r="C669" s="186" t="s">
        <v>180</v>
      </c>
      <c r="D669" s="185" t="s">
        <v>634</v>
      </c>
      <c r="E669" s="185"/>
      <c r="F669" s="185">
        <v>2150</v>
      </c>
      <c r="G669" s="185" t="s">
        <v>352</v>
      </c>
      <c r="H669" s="187"/>
      <c r="I669" s="188"/>
      <c r="J669" s="189">
        <v>48.283333333333303</v>
      </c>
    </row>
    <row r="670" spans="1:10">
      <c r="A670" s="185" t="s">
        <v>1677</v>
      </c>
      <c r="B670" s="185" t="s">
        <v>802</v>
      </c>
      <c r="C670" s="186" t="s">
        <v>180</v>
      </c>
      <c r="D670" s="185">
        <v>0</v>
      </c>
      <c r="E670" s="185"/>
      <c r="F670" s="185">
        <v>2150</v>
      </c>
      <c r="G670" s="185" t="s">
        <v>352</v>
      </c>
      <c r="H670" s="187"/>
      <c r="I670" s="188"/>
      <c r="J670" s="189">
        <v>5.6666666666666696</v>
      </c>
    </row>
    <row r="671" spans="1:10">
      <c r="A671" s="185" t="s">
        <v>1678</v>
      </c>
      <c r="B671" s="185" t="s">
        <v>1679</v>
      </c>
      <c r="C671" s="186" t="s">
        <v>176</v>
      </c>
      <c r="D671" s="185" t="s">
        <v>360</v>
      </c>
      <c r="E671" s="185" t="s">
        <v>336</v>
      </c>
      <c r="F671" s="185">
        <v>2100</v>
      </c>
      <c r="G671" s="185" t="s">
        <v>419</v>
      </c>
      <c r="H671" s="187"/>
      <c r="I671" s="188"/>
      <c r="J671" s="189">
        <v>0.3</v>
      </c>
    </row>
    <row r="672" spans="1:10">
      <c r="A672" s="185" t="s">
        <v>1680</v>
      </c>
      <c r="B672" s="185" t="s">
        <v>1681</v>
      </c>
      <c r="C672" s="186" t="s">
        <v>176</v>
      </c>
      <c r="D672" s="185" t="s">
        <v>360</v>
      </c>
      <c r="E672" s="185" t="s">
        <v>336</v>
      </c>
      <c r="F672" s="185">
        <v>2100</v>
      </c>
      <c r="G672" s="185" t="s">
        <v>419</v>
      </c>
      <c r="H672" s="187"/>
      <c r="I672" s="188"/>
      <c r="J672" s="189">
        <v>0.3</v>
      </c>
    </row>
    <row r="673" spans="1:10">
      <c r="A673" s="185" t="s">
        <v>1601</v>
      </c>
      <c r="B673" s="185" t="s">
        <v>1585</v>
      </c>
      <c r="C673" s="186" t="s">
        <v>176</v>
      </c>
      <c r="D673" s="185">
        <v>0</v>
      </c>
      <c r="E673" s="185" t="s">
        <v>365</v>
      </c>
      <c r="F673" s="185">
        <v>2100</v>
      </c>
      <c r="G673" s="185" t="s">
        <v>419</v>
      </c>
      <c r="H673" s="187"/>
      <c r="I673" s="188"/>
      <c r="J673" s="189">
        <v>0.3</v>
      </c>
    </row>
    <row r="674" spans="1:10">
      <c r="A674" s="185" t="s">
        <v>1602</v>
      </c>
      <c r="B674" s="185" t="s">
        <v>1586</v>
      </c>
      <c r="C674" s="186" t="s">
        <v>176</v>
      </c>
      <c r="D674" s="185">
        <v>0</v>
      </c>
      <c r="E674" s="185" t="s">
        <v>365</v>
      </c>
      <c r="F674" s="185">
        <v>2100</v>
      </c>
      <c r="G674" s="185" t="s">
        <v>419</v>
      </c>
      <c r="H674" s="187"/>
      <c r="I674" s="188"/>
      <c r="J674" s="189">
        <v>0.3</v>
      </c>
    </row>
    <row r="675" spans="1:10">
      <c r="A675" s="185" t="s">
        <v>1603</v>
      </c>
      <c r="B675" s="185" t="s">
        <v>1587</v>
      </c>
      <c r="C675" s="186" t="s">
        <v>176</v>
      </c>
      <c r="D675" s="185">
        <v>0</v>
      </c>
      <c r="E675" s="185" t="s">
        <v>365</v>
      </c>
      <c r="F675" s="185">
        <v>2100</v>
      </c>
      <c r="G675" s="185" t="s">
        <v>419</v>
      </c>
      <c r="H675" s="187"/>
      <c r="I675" s="188"/>
      <c r="J675" s="189">
        <v>0.3</v>
      </c>
    </row>
    <row r="676" spans="1:10">
      <c r="A676" s="185" t="s">
        <v>1604</v>
      </c>
      <c r="B676" s="185" t="s">
        <v>1588</v>
      </c>
      <c r="C676" s="186" t="s">
        <v>176</v>
      </c>
      <c r="D676" s="185">
        <v>0</v>
      </c>
      <c r="E676" s="185" t="s">
        <v>365</v>
      </c>
      <c r="F676" s="185">
        <v>2100</v>
      </c>
      <c r="G676" s="185" t="s">
        <v>419</v>
      </c>
      <c r="H676" s="187"/>
      <c r="I676" s="188"/>
      <c r="J676" s="189">
        <v>0.3</v>
      </c>
    </row>
    <row r="677" spans="1:10">
      <c r="A677" s="185" t="s">
        <v>1605</v>
      </c>
      <c r="B677" s="185" t="s">
        <v>1589</v>
      </c>
      <c r="C677" s="186" t="s">
        <v>176</v>
      </c>
      <c r="D677" s="185">
        <v>0</v>
      </c>
      <c r="E677" s="185" t="s">
        <v>365</v>
      </c>
      <c r="F677" s="185">
        <v>2100</v>
      </c>
      <c r="G677" s="185" t="s">
        <v>419</v>
      </c>
      <c r="H677" s="187"/>
      <c r="I677" s="188"/>
      <c r="J677" s="189">
        <v>0.3</v>
      </c>
    </row>
    <row r="678" spans="1:10">
      <c r="A678" s="185" t="s">
        <v>1606</v>
      </c>
      <c r="B678" s="185" t="s">
        <v>1590</v>
      </c>
      <c r="C678" s="186" t="s">
        <v>176</v>
      </c>
      <c r="D678" s="185">
        <v>0</v>
      </c>
      <c r="E678" s="185" t="s">
        <v>365</v>
      </c>
      <c r="F678" s="185">
        <v>2100</v>
      </c>
      <c r="G678" s="185" t="s">
        <v>419</v>
      </c>
      <c r="H678" s="187"/>
      <c r="I678" s="188"/>
      <c r="J678" s="189">
        <v>0.3</v>
      </c>
    </row>
    <row r="679" spans="1:10">
      <c r="A679" s="185" t="s">
        <v>1607</v>
      </c>
      <c r="B679" s="185" t="s">
        <v>1591</v>
      </c>
      <c r="C679" s="186" t="s">
        <v>176</v>
      </c>
      <c r="D679" s="185">
        <v>0</v>
      </c>
      <c r="E679" s="185" t="s">
        <v>365</v>
      </c>
      <c r="F679" s="185">
        <v>2100</v>
      </c>
      <c r="G679" s="185" t="s">
        <v>419</v>
      </c>
      <c r="H679" s="187"/>
      <c r="I679" s="188"/>
      <c r="J679" s="189">
        <v>0.3</v>
      </c>
    </row>
    <row r="680" spans="1:10">
      <c r="A680" s="185" t="s">
        <v>1608</v>
      </c>
      <c r="B680" s="185" t="s">
        <v>1592</v>
      </c>
      <c r="C680" s="186" t="s">
        <v>176</v>
      </c>
      <c r="D680" s="185">
        <v>0</v>
      </c>
      <c r="E680" s="185" t="s">
        <v>365</v>
      </c>
      <c r="F680" s="185">
        <v>2100</v>
      </c>
      <c r="G680" s="185" t="s">
        <v>419</v>
      </c>
      <c r="H680" s="187"/>
      <c r="I680" s="188"/>
      <c r="J680" s="189">
        <v>0.3</v>
      </c>
    </row>
    <row r="681" spans="1:10">
      <c r="A681" s="185" t="s">
        <v>1609</v>
      </c>
      <c r="B681" s="185" t="s">
        <v>1593</v>
      </c>
      <c r="C681" s="186" t="s">
        <v>176</v>
      </c>
      <c r="D681" s="185">
        <v>0</v>
      </c>
      <c r="E681" s="185" t="s">
        <v>365</v>
      </c>
      <c r="F681" s="185">
        <v>2100</v>
      </c>
      <c r="G681" s="185" t="s">
        <v>419</v>
      </c>
      <c r="H681" s="187"/>
      <c r="I681" s="188"/>
      <c r="J681" s="189">
        <v>0.3</v>
      </c>
    </row>
    <row r="682" spans="1:10">
      <c r="A682" s="185" t="s">
        <v>1610</v>
      </c>
      <c r="B682" s="185" t="s">
        <v>1594</v>
      </c>
      <c r="C682" s="186" t="s">
        <v>176</v>
      </c>
      <c r="D682" s="185">
        <v>0</v>
      </c>
      <c r="E682" s="185" t="s">
        <v>365</v>
      </c>
      <c r="F682" s="185">
        <v>2100</v>
      </c>
      <c r="G682" s="185" t="s">
        <v>419</v>
      </c>
      <c r="H682" s="187"/>
      <c r="I682" s="188"/>
      <c r="J682" s="189">
        <v>0.3</v>
      </c>
    </row>
    <row r="683" spans="1:10">
      <c r="A683" s="185" t="s">
        <v>1611</v>
      </c>
      <c r="B683" s="185" t="s">
        <v>1595</v>
      </c>
      <c r="C683" s="186" t="s">
        <v>176</v>
      </c>
      <c r="D683" s="185">
        <v>0</v>
      </c>
      <c r="E683" s="185" t="s">
        <v>365</v>
      </c>
      <c r="F683" s="185">
        <v>2100</v>
      </c>
      <c r="G683" s="185" t="s">
        <v>419</v>
      </c>
      <c r="H683" s="187"/>
      <c r="I683" s="188"/>
      <c r="J683" s="189">
        <v>0.3</v>
      </c>
    </row>
    <row r="684" spans="1:10">
      <c r="A684" s="185" t="s">
        <v>1612</v>
      </c>
      <c r="B684" s="185" t="s">
        <v>1596</v>
      </c>
      <c r="C684" s="186" t="s">
        <v>176</v>
      </c>
      <c r="D684" s="185">
        <v>0</v>
      </c>
      <c r="E684" s="185" t="s">
        <v>365</v>
      </c>
      <c r="F684" s="185">
        <v>2100</v>
      </c>
      <c r="G684" s="185" t="s">
        <v>419</v>
      </c>
      <c r="H684" s="187"/>
      <c r="I684" s="188"/>
      <c r="J684" s="189">
        <v>0.3</v>
      </c>
    </row>
    <row r="685" spans="1:10">
      <c r="A685" s="185" t="s">
        <v>1613</v>
      </c>
      <c r="B685" s="185" t="s">
        <v>1597</v>
      </c>
      <c r="C685" s="186" t="s">
        <v>176</v>
      </c>
      <c r="D685" s="185">
        <v>0</v>
      </c>
      <c r="E685" s="185" t="s">
        <v>365</v>
      </c>
      <c r="F685" s="185">
        <v>2100</v>
      </c>
      <c r="G685" s="185" t="s">
        <v>419</v>
      </c>
      <c r="H685" s="187"/>
      <c r="I685" s="188"/>
      <c r="J685" s="189">
        <v>0.3</v>
      </c>
    </row>
    <row r="686" spans="1:10">
      <c r="A686" s="185" t="s">
        <v>1614</v>
      </c>
      <c r="B686" s="185" t="s">
        <v>1598</v>
      </c>
      <c r="C686" s="186" t="s">
        <v>176</v>
      </c>
      <c r="D686" s="185">
        <v>0</v>
      </c>
      <c r="E686" s="185" t="s">
        <v>365</v>
      </c>
      <c r="F686" s="185">
        <v>2100</v>
      </c>
      <c r="G686" s="185" t="s">
        <v>419</v>
      </c>
      <c r="H686" s="187"/>
      <c r="I686" s="188"/>
      <c r="J686" s="189">
        <v>0.3</v>
      </c>
    </row>
    <row r="687" spans="1:10">
      <c r="A687" s="185" t="s">
        <v>1615</v>
      </c>
      <c r="B687" s="185" t="s">
        <v>1599</v>
      </c>
      <c r="C687" s="186" t="s">
        <v>176</v>
      </c>
      <c r="D687" s="185">
        <v>0</v>
      </c>
      <c r="E687" s="185" t="s">
        <v>365</v>
      </c>
      <c r="F687" s="185">
        <v>2100</v>
      </c>
      <c r="G687" s="185" t="s">
        <v>419</v>
      </c>
      <c r="H687" s="187"/>
      <c r="I687" s="188"/>
      <c r="J687" s="189">
        <v>0.3</v>
      </c>
    </row>
    <row r="688" spans="1:10">
      <c r="A688" s="185" t="s">
        <v>1616</v>
      </c>
      <c r="B688" s="185" t="s">
        <v>1600</v>
      </c>
      <c r="C688" s="186" t="s">
        <v>176</v>
      </c>
      <c r="D688" s="185">
        <v>0</v>
      </c>
      <c r="E688" s="185" t="s">
        <v>365</v>
      </c>
      <c r="F688" s="185">
        <v>2100</v>
      </c>
      <c r="G688" s="185" t="s">
        <v>419</v>
      </c>
      <c r="H688" s="187"/>
      <c r="I688" s="188"/>
      <c r="J688" s="189">
        <v>0.3</v>
      </c>
    </row>
    <row r="689" spans="1:10">
      <c r="A689" s="185" t="s">
        <v>1682</v>
      </c>
      <c r="B689" s="185" t="s">
        <v>825</v>
      </c>
      <c r="C689" s="186" t="s">
        <v>180</v>
      </c>
      <c r="D689" s="185">
        <v>0</v>
      </c>
      <c r="E689" s="185"/>
      <c r="F689" s="185">
        <v>4150</v>
      </c>
      <c r="G689" s="185" t="s">
        <v>374</v>
      </c>
      <c r="H689" s="187"/>
      <c r="I689" s="188"/>
      <c r="J689" s="189">
        <v>39.285714285714299</v>
      </c>
    </row>
    <row r="690" spans="1:10">
      <c r="A690" s="185" t="s">
        <v>1683</v>
      </c>
      <c r="B690" s="185" t="s">
        <v>1684</v>
      </c>
      <c r="C690" s="186" t="s">
        <v>180</v>
      </c>
      <c r="D690" s="185">
        <v>0</v>
      </c>
      <c r="E690" s="185"/>
      <c r="F690" s="185">
        <v>4150</v>
      </c>
      <c r="G690" s="185" t="s">
        <v>374</v>
      </c>
      <c r="H690" s="187"/>
      <c r="I690" s="188"/>
      <c r="J690" s="189">
        <v>0.25714285714285701</v>
      </c>
    </row>
    <row r="691" spans="1:10">
      <c r="A691" s="185" t="s">
        <v>1685</v>
      </c>
      <c r="B691" s="185" t="s">
        <v>1686</v>
      </c>
      <c r="C691" s="186" t="s">
        <v>180</v>
      </c>
      <c r="D691" s="185">
        <v>0</v>
      </c>
      <c r="E691" s="185"/>
      <c r="F691" s="185">
        <v>2150</v>
      </c>
      <c r="G691" s="185" t="s">
        <v>352</v>
      </c>
      <c r="H691" s="187"/>
      <c r="I691" s="188"/>
      <c r="J691" s="189">
        <v>16.283333333333299</v>
      </c>
    </row>
    <row r="692" spans="1:10">
      <c r="A692" s="185" t="s">
        <v>1687</v>
      </c>
      <c r="B692" s="185" t="s">
        <v>1688</v>
      </c>
      <c r="C692" s="186" t="s">
        <v>180</v>
      </c>
      <c r="D692" s="185">
        <v>0</v>
      </c>
      <c r="E692" s="185"/>
      <c r="F692" s="185">
        <v>2150</v>
      </c>
      <c r="G692" s="185" t="s">
        <v>352</v>
      </c>
      <c r="H692" s="187"/>
      <c r="I692" s="188"/>
      <c r="J692" s="189">
        <v>39.9</v>
      </c>
    </row>
    <row r="693" spans="1:10">
      <c r="A693" s="185" t="s">
        <v>1689</v>
      </c>
      <c r="B693" s="185" t="s">
        <v>1690</v>
      </c>
      <c r="C693" s="186" t="s">
        <v>180</v>
      </c>
      <c r="D693" s="185">
        <v>0</v>
      </c>
      <c r="E693" s="185"/>
      <c r="F693" s="185">
        <v>4150</v>
      </c>
      <c r="G693" s="185" t="s">
        <v>374</v>
      </c>
      <c r="H693" s="187"/>
      <c r="I693" s="188"/>
      <c r="J693" s="189">
        <v>14.685714285714299</v>
      </c>
    </row>
    <row r="694" spans="1:10">
      <c r="A694" s="185" t="s">
        <v>1691</v>
      </c>
      <c r="B694" s="185" t="s">
        <v>1692</v>
      </c>
      <c r="C694" s="186" t="s">
        <v>180</v>
      </c>
      <c r="D694" s="185">
        <v>0</v>
      </c>
      <c r="E694" s="185"/>
      <c r="F694" s="185">
        <v>2150</v>
      </c>
      <c r="G694" s="185" t="s">
        <v>352</v>
      </c>
      <c r="H694" s="187"/>
      <c r="I694" s="188"/>
      <c r="J694" s="189">
        <v>4.5</v>
      </c>
    </row>
    <row r="695" spans="1:10">
      <c r="A695" s="185" t="s">
        <v>1693</v>
      </c>
      <c r="B695" s="185" t="s">
        <v>1694</v>
      </c>
      <c r="C695" s="186" t="s">
        <v>180</v>
      </c>
      <c r="D695" s="185">
        <v>0</v>
      </c>
      <c r="E695" s="185"/>
      <c r="F695" s="185">
        <v>4150</v>
      </c>
      <c r="G695" s="185" t="s">
        <v>374</v>
      </c>
      <c r="H695" s="187"/>
      <c r="I695" s="188"/>
      <c r="J695" s="189">
        <v>250.71428571428601</v>
      </c>
    </row>
    <row r="696" spans="1:10">
      <c r="A696" s="185" t="s">
        <v>1695</v>
      </c>
      <c r="B696" s="185" t="s">
        <v>1696</v>
      </c>
      <c r="C696" s="186" t="s">
        <v>180</v>
      </c>
      <c r="D696" s="185">
        <v>0</v>
      </c>
      <c r="E696" s="185"/>
      <c r="F696" s="185">
        <v>4150</v>
      </c>
      <c r="G696" s="185" t="s">
        <v>374</v>
      </c>
      <c r="H696" s="187"/>
      <c r="I696" s="188"/>
      <c r="J696" s="189">
        <v>28.785714285714299</v>
      </c>
    </row>
    <row r="697" spans="1:10">
      <c r="A697" s="185" t="s">
        <v>1697</v>
      </c>
      <c r="B697" s="185" t="s">
        <v>1698</v>
      </c>
      <c r="C697" s="186" t="s">
        <v>180</v>
      </c>
      <c r="D697" s="185">
        <v>0</v>
      </c>
      <c r="E697" s="185"/>
      <c r="F697" s="185">
        <v>4150</v>
      </c>
      <c r="G697" s="185" t="s">
        <v>374</v>
      </c>
      <c r="H697" s="187"/>
      <c r="I697" s="188"/>
      <c r="J697" s="189">
        <v>30.6428571428571</v>
      </c>
    </row>
    <row r="698" spans="1:10">
      <c r="A698" s="185" t="s">
        <v>2066</v>
      </c>
      <c r="B698" s="185" t="s">
        <v>2067</v>
      </c>
      <c r="C698" s="186" t="s">
        <v>176</v>
      </c>
      <c r="D698" s="185" t="s">
        <v>360</v>
      </c>
      <c r="E698" s="185" t="s">
        <v>336</v>
      </c>
      <c r="F698" s="185">
        <v>2100</v>
      </c>
      <c r="G698" s="185" t="s">
        <v>419</v>
      </c>
      <c r="H698" s="187"/>
      <c r="I698" s="188"/>
      <c r="J698" s="189">
        <v>0.3</v>
      </c>
    </row>
    <row r="699" spans="1:10">
      <c r="A699" s="185" t="s">
        <v>2068</v>
      </c>
      <c r="B699" s="185" t="s">
        <v>2069</v>
      </c>
      <c r="C699" s="186" t="s">
        <v>180</v>
      </c>
      <c r="D699" s="185">
        <v>0</v>
      </c>
      <c r="E699" s="185"/>
      <c r="F699" s="185">
        <v>4150</v>
      </c>
      <c r="G699" s="185" t="s">
        <v>374</v>
      </c>
      <c r="H699" s="187"/>
      <c r="I699" s="188"/>
      <c r="J699" s="189">
        <v>103.571428571429</v>
      </c>
    </row>
    <row r="700" spans="1:10">
      <c r="A700" s="185" t="s">
        <v>2070</v>
      </c>
      <c r="B700" s="185" t="s">
        <v>2071</v>
      </c>
      <c r="C700" s="186" t="s">
        <v>180</v>
      </c>
      <c r="D700" s="185">
        <v>0</v>
      </c>
      <c r="E700" s="185"/>
      <c r="F700" s="185">
        <v>2150</v>
      </c>
      <c r="G700" s="185" t="s">
        <v>352</v>
      </c>
      <c r="H700" s="187"/>
      <c r="I700" s="188"/>
      <c r="J700" s="189">
        <v>86.6666666666667</v>
      </c>
    </row>
    <row r="701" spans="1:10">
      <c r="A701" s="185" t="s">
        <v>1738</v>
      </c>
      <c r="B701" s="185" t="s">
        <v>1739</v>
      </c>
      <c r="C701" s="186" t="s">
        <v>180</v>
      </c>
      <c r="D701" s="185" t="s">
        <v>360</v>
      </c>
      <c r="E701" s="185"/>
      <c r="F701" s="185">
        <v>2100</v>
      </c>
      <c r="G701" s="185" t="s">
        <v>419</v>
      </c>
      <c r="H701" s="187"/>
      <c r="I701" s="188"/>
      <c r="J701" s="189">
        <v>16.071428571428601</v>
      </c>
    </row>
    <row r="702" spans="1:10">
      <c r="A702" s="185" t="s">
        <v>1925</v>
      </c>
      <c r="B702" s="185" t="s">
        <v>1926</v>
      </c>
      <c r="C702" s="186" t="s">
        <v>180</v>
      </c>
      <c r="D702" s="185">
        <v>0</v>
      </c>
      <c r="E702" s="185"/>
      <c r="F702" s="185">
        <v>4150</v>
      </c>
      <c r="G702" s="185" t="s">
        <v>347</v>
      </c>
      <c r="H702" s="187"/>
      <c r="I702" s="188"/>
      <c r="J702" s="189">
        <v>11.0833333333333</v>
      </c>
    </row>
    <row r="703" spans="1:10">
      <c r="A703" s="185" t="s">
        <v>1699</v>
      </c>
      <c r="B703" s="185" t="s">
        <v>1700</v>
      </c>
      <c r="C703" s="186" t="s">
        <v>180</v>
      </c>
      <c r="D703" s="185">
        <v>0</v>
      </c>
      <c r="E703" s="185"/>
      <c r="F703" s="185">
        <v>4150</v>
      </c>
      <c r="G703" s="185" t="s">
        <v>374</v>
      </c>
      <c r="H703" s="187"/>
      <c r="I703" s="188"/>
      <c r="J703" s="189">
        <v>50.228571428571399</v>
      </c>
    </row>
    <row r="704" spans="1:10">
      <c r="A704" s="185" t="s">
        <v>1701</v>
      </c>
      <c r="B704" s="185" t="s">
        <v>1702</v>
      </c>
      <c r="C704" s="186" t="s">
        <v>180</v>
      </c>
      <c r="D704" s="185">
        <v>0</v>
      </c>
      <c r="E704" s="185"/>
      <c r="F704" s="185">
        <v>4150</v>
      </c>
      <c r="G704" s="185" t="s">
        <v>374</v>
      </c>
      <c r="H704" s="187"/>
      <c r="I704" s="188"/>
      <c r="J704" s="189">
        <v>12.6285714285714</v>
      </c>
    </row>
    <row r="705" spans="1:10">
      <c r="A705" s="185" t="s">
        <v>1703</v>
      </c>
      <c r="B705" s="185" t="s">
        <v>1704</v>
      </c>
      <c r="C705" s="186" t="s">
        <v>180</v>
      </c>
      <c r="D705" s="185">
        <v>0</v>
      </c>
      <c r="E705" s="185"/>
      <c r="F705" s="185">
        <v>4150</v>
      </c>
      <c r="G705" s="185" t="s">
        <v>374</v>
      </c>
      <c r="H705" s="187"/>
      <c r="I705" s="188"/>
      <c r="J705" s="189">
        <v>40.714285714285701</v>
      </c>
    </row>
    <row r="706" spans="1:10">
      <c r="A706" s="185" t="s">
        <v>1927</v>
      </c>
      <c r="B706" s="185" t="s">
        <v>1928</v>
      </c>
      <c r="C706" s="186" t="s">
        <v>180</v>
      </c>
      <c r="D706" s="185">
        <v>0</v>
      </c>
      <c r="E706" s="185"/>
      <c r="F706" s="185">
        <v>4150</v>
      </c>
      <c r="G706" s="185" t="s">
        <v>374</v>
      </c>
      <c r="H706" s="187"/>
      <c r="I706" s="188"/>
      <c r="J706" s="189">
        <v>411.57142857142901</v>
      </c>
    </row>
    <row r="707" spans="1:10">
      <c r="A707" s="185" t="s">
        <v>1929</v>
      </c>
      <c r="B707" s="185" t="s">
        <v>1930</v>
      </c>
      <c r="C707" s="186" t="s">
        <v>180</v>
      </c>
      <c r="D707" s="185">
        <v>0</v>
      </c>
      <c r="E707" s="185"/>
      <c r="F707" s="185">
        <v>4150</v>
      </c>
      <c r="G707" s="185" t="s">
        <v>374</v>
      </c>
      <c r="H707" s="187"/>
      <c r="I707" s="188"/>
      <c r="J707" s="189">
        <v>25.9142857142857</v>
      </c>
    </row>
    <row r="708" spans="1:10">
      <c r="A708" s="185" t="s">
        <v>1931</v>
      </c>
      <c r="B708" s="185" t="s">
        <v>1932</v>
      </c>
      <c r="C708" s="186" t="s">
        <v>180</v>
      </c>
      <c r="D708" s="185">
        <v>0</v>
      </c>
      <c r="E708" s="185"/>
      <c r="F708" s="185">
        <v>4150</v>
      </c>
      <c r="G708" s="185" t="s">
        <v>374</v>
      </c>
      <c r="H708" s="187"/>
      <c r="I708" s="188"/>
      <c r="J708" s="189">
        <v>25.9142857142857</v>
      </c>
    </row>
    <row r="709" spans="1:10">
      <c r="A709" s="185" t="s">
        <v>1933</v>
      </c>
      <c r="B709" s="185" t="s">
        <v>1934</v>
      </c>
      <c r="C709" s="186" t="s">
        <v>180</v>
      </c>
      <c r="D709" s="185">
        <v>0</v>
      </c>
      <c r="E709" s="185"/>
      <c r="F709" s="185">
        <v>4150</v>
      </c>
      <c r="G709" s="185" t="s">
        <v>374</v>
      </c>
      <c r="H709" s="187"/>
      <c r="I709" s="188"/>
      <c r="J709" s="189">
        <v>18.685714285714301</v>
      </c>
    </row>
    <row r="710" spans="1:10">
      <c r="A710" s="185" t="s">
        <v>1935</v>
      </c>
      <c r="B710" s="185" t="s">
        <v>1936</v>
      </c>
      <c r="C710" s="186" t="s">
        <v>180</v>
      </c>
      <c r="D710" s="185">
        <v>0</v>
      </c>
      <c r="E710" s="185"/>
      <c r="F710" s="185">
        <v>4150</v>
      </c>
      <c r="G710" s="185" t="s">
        <v>374</v>
      </c>
      <c r="H710" s="187"/>
      <c r="I710" s="188"/>
      <c r="J710" s="189">
        <v>3.0857142857142899</v>
      </c>
    </row>
    <row r="711" spans="1:10">
      <c r="A711" s="185" t="s">
        <v>1937</v>
      </c>
      <c r="B711" s="185" t="s">
        <v>1938</v>
      </c>
      <c r="C711" s="186" t="s">
        <v>180</v>
      </c>
      <c r="D711" s="185" t="s">
        <v>360</v>
      </c>
      <c r="E711" s="185"/>
      <c r="F711" s="185">
        <v>4150</v>
      </c>
      <c r="G711" s="185" t="s">
        <v>374</v>
      </c>
      <c r="H711" s="187"/>
      <c r="I711" s="188"/>
      <c r="J711" s="189">
        <v>6.3285714285714301</v>
      </c>
    </row>
    <row r="712" spans="1:10">
      <c r="A712" s="185" t="s">
        <v>1939</v>
      </c>
      <c r="B712" s="185" t="s">
        <v>1940</v>
      </c>
      <c r="C712" s="186" t="s">
        <v>180</v>
      </c>
      <c r="D712" s="185">
        <v>0</v>
      </c>
      <c r="E712" s="185"/>
      <c r="F712" s="185">
        <v>4150</v>
      </c>
      <c r="G712" s="185" t="s">
        <v>374</v>
      </c>
      <c r="H712" s="187"/>
      <c r="I712" s="188"/>
      <c r="J712" s="189">
        <v>1.5857142857142901</v>
      </c>
    </row>
    <row r="713" spans="1:10">
      <c r="A713" s="185" t="s">
        <v>1941</v>
      </c>
      <c r="B713" s="185" t="s">
        <v>1942</v>
      </c>
      <c r="C713" s="186" t="s">
        <v>180</v>
      </c>
      <c r="D713" s="185">
        <v>0</v>
      </c>
      <c r="E713" s="185"/>
      <c r="F713" s="185">
        <v>4150</v>
      </c>
      <c r="G713" s="185" t="s">
        <v>374</v>
      </c>
      <c r="H713" s="187"/>
      <c r="I713" s="188"/>
      <c r="J713" s="189">
        <v>2.5857142857142899</v>
      </c>
    </row>
    <row r="714" spans="1:10">
      <c r="A714" s="185" t="s">
        <v>1943</v>
      </c>
      <c r="B714" s="185" t="s">
        <v>1944</v>
      </c>
      <c r="C714" s="186" t="s">
        <v>180</v>
      </c>
      <c r="D714" s="185">
        <v>0</v>
      </c>
      <c r="E714" s="185"/>
      <c r="F714" s="185">
        <v>4150</v>
      </c>
      <c r="G714" s="185" t="s">
        <v>374</v>
      </c>
      <c r="H714" s="187"/>
      <c r="I714" s="188"/>
      <c r="J714" s="189">
        <v>12.328571428571401</v>
      </c>
    </row>
    <row r="715" spans="1:10">
      <c r="A715" s="185" t="s">
        <v>1705</v>
      </c>
      <c r="B715" s="185" t="s">
        <v>1706</v>
      </c>
      <c r="C715" s="186" t="s">
        <v>180</v>
      </c>
      <c r="D715" s="185">
        <v>0</v>
      </c>
      <c r="E715" s="185"/>
      <c r="F715" s="185">
        <v>4150</v>
      </c>
      <c r="G715" s="185" t="s">
        <v>374</v>
      </c>
      <c r="H715" s="187"/>
      <c r="I715" s="188"/>
      <c r="J715" s="189">
        <v>1.78571428571429</v>
      </c>
    </row>
    <row r="716" spans="1:10">
      <c r="A716" s="185" t="s">
        <v>1945</v>
      </c>
      <c r="B716" s="185" t="s">
        <v>1946</v>
      </c>
      <c r="C716" s="186" t="s">
        <v>180</v>
      </c>
      <c r="D716" s="185" t="s">
        <v>360</v>
      </c>
      <c r="E716" s="185"/>
      <c r="F716" s="185">
        <v>4150</v>
      </c>
      <c r="G716" s="185" t="s">
        <v>374</v>
      </c>
      <c r="H716" s="187"/>
      <c r="I716" s="188"/>
      <c r="J716" s="189">
        <v>38.071428571428598</v>
      </c>
    </row>
    <row r="717" spans="1:10">
      <c r="A717" s="185" t="s">
        <v>1947</v>
      </c>
      <c r="B717" s="185" t="s">
        <v>1948</v>
      </c>
      <c r="C717" s="186" t="s">
        <v>180</v>
      </c>
      <c r="D717" s="185" t="s">
        <v>637</v>
      </c>
      <c r="E717" s="185"/>
      <c r="F717" s="185">
        <v>4150</v>
      </c>
      <c r="G717" s="185" t="s">
        <v>374</v>
      </c>
      <c r="H717" s="187"/>
      <c r="I717" s="188"/>
      <c r="J717" s="189">
        <v>3.0285714285714298</v>
      </c>
    </row>
    <row r="718" spans="1:10">
      <c r="A718" s="185" t="s">
        <v>1949</v>
      </c>
      <c r="B718" s="185" t="s">
        <v>1950</v>
      </c>
      <c r="C718" s="186" t="s">
        <v>180</v>
      </c>
      <c r="D718" s="185">
        <v>0</v>
      </c>
      <c r="E718" s="185"/>
      <c r="F718" s="185">
        <v>4150</v>
      </c>
      <c r="G718" s="185" t="s">
        <v>374</v>
      </c>
      <c r="H718" s="187"/>
      <c r="I718" s="188"/>
      <c r="J718" s="189">
        <v>4.2857142857142899E-2</v>
      </c>
    </row>
    <row r="719" spans="1:10">
      <c r="A719" s="185" t="s">
        <v>1707</v>
      </c>
      <c r="B719" s="185" t="s">
        <v>1708</v>
      </c>
      <c r="C719" s="186" t="s">
        <v>180</v>
      </c>
      <c r="D719" s="185" t="s">
        <v>360</v>
      </c>
      <c r="E719" s="185"/>
      <c r="F719" s="185">
        <v>4150</v>
      </c>
      <c r="G719" s="185" t="s">
        <v>374</v>
      </c>
      <c r="H719" s="187"/>
      <c r="I719" s="188"/>
      <c r="J719" s="189">
        <v>29.285714285714299</v>
      </c>
    </row>
    <row r="720" spans="1:10">
      <c r="A720" s="185" t="s">
        <v>1709</v>
      </c>
      <c r="B720" s="185" t="s">
        <v>1710</v>
      </c>
      <c r="C720" s="186" t="s">
        <v>180</v>
      </c>
      <c r="D720" s="185" t="s">
        <v>360</v>
      </c>
      <c r="E720" s="185"/>
      <c r="F720" s="185">
        <v>4150</v>
      </c>
      <c r="G720" s="185" t="s">
        <v>374</v>
      </c>
      <c r="H720" s="187"/>
      <c r="I720" s="188"/>
      <c r="J720" s="189">
        <v>35.714285714285701</v>
      </c>
    </row>
    <row r="721" spans="1:10">
      <c r="A721" s="185" t="s">
        <v>1740</v>
      </c>
      <c r="B721" s="185" t="s">
        <v>1741</v>
      </c>
      <c r="C721" s="186" t="s">
        <v>180</v>
      </c>
      <c r="D721" s="185">
        <v>0</v>
      </c>
      <c r="E721" s="185"/>
      <c r="F721" s="185">
        <v>4150</v>
      </c>
      <c r="G721" s="185" t="s">
        <v>374</v>
      </c>
      <c r="H721" s="187"/>
      <c r="I721" s="188"/>
      <c r="J721" s="189">
        <v>1.8571428571428601</v>
      </c>
    </row>
    <row r="722" spans="1:10">
      <c r="A722" s="185" t="s">
        <v>1742</v>
      </c>
      <c r="B722" s="185" t="s">
        <v>1743</v>
      </c>
      <c r="C722" s="186" t="s">
        <v>180</v>
      </c>
      <c r="D722" s="185">
        <v>0</v>
      </c>
      <c r="E722" s="185"/>
      <c r="F722" s="185">
        <v>4150</v>
      </c>
      <c r="G722" s="185" t="s">
        <v>347</v>
      </c>
      <c r="H722" s="187"/>
      <c r="I722" s="188"/>
      <c r="J722" s="189">
        <v>10.35</v>
      </c>
    </row>
    <row r="723" spans="1:10">
      <c r="A723" s="185" t="s">
        <v>1744</v>
      </c>
      <c r="B723" s="185" t="s">
        <v>1745</v>
      </c>
      <c r="C723" s="186" t="s">
        <v>180</v>
      </c>
      <c r="D723" s="185">
        <v>0</v>
      </c>
      <c r="E723" s="185"/>
      <c r="F723" s="185">
        <v>2150</v>
      </c>
      <c r="G723" s="185" t="s">
        <v>347</v>
      </c>
      <c r="H723" s="187"/>
      <c r="I723" s="188"/>
      <c r="J723" s="189">
        <v>30.45</v>
      </c>
    </row>
    <row r="724" spans="1:10">
      <c r="A724" s="185" t="s">
        <v>1746</v>
      </c>
      <c r="B724" s="185" t="s">
        <v>1747</v>
      </c>
      <c r="C724" s="186" t="s">
        <v>180</v>
      </c>
      <c r="D724" s="185">
        <v>0</v>
      </c>
      <c r="E724" s="185"/>
      <c r="F724" s="185">
        <v>4150</v>
      </c>
      <c r="G724" s="185" t="s">
        <v>347</v>
      </c>
      <c r="H724" s="187"/>
      <c r="I724" s="188"/>
      <c r="J724" s="189">
        <v>22.5</v>
      </c>
    </row>
    <row r="725" spans="1:10">
      <c r="A725" s="185" t="s">
        <v>1733</v>
      </c>
      <c r="B725" s="185" t="s">
        <v>1748</v>
      </c>
      <c r="C725" s="186" t="s">
        <v>176</v>
      </c>
      <c r="D725" s="185">
        <v>0</v>
      </c>
      <c r="E725" s="185" t="s">
        <v>365</v>
      </c>
      <c r="F725" s="185">
        <v>2150</v>
      </c>
      <c r="G725" s="185" t="s">
        <v>369</v>
      </c>
      <c r="H725" s="187"/>
      <c r="I725" s="188"/>
      <c r="J725" s="189">
        <v>0.8</v>
      </c>
    </row>
    <row r="726" spans="1:10">
      <c r="A726" s="185" t="s">
        <v>1951</v>
      </c>
      <c r="B726" s="185" t="s">
        <v>1745</v>
      </c>
      <c r="C726" s="186" t="s">
        <v>180</v>
      </c>
      <c r="D726" s="185">
        <v>0</v>
      </c>
      <c r="E726" s="185"/>
      <c r="F726" s="185">
        <v>2150</v>
      </c>
      <c r="G726" s="185" t="s">
        <v>347</v>
      </c>
      <c r="H726" s="187"/>
      <c r="I726" s="188"/>
      <c r="J726" s="189">
        <v>25.533333333333299</v>
      </c>
    </row>
    <row r="727" spans="1:10">
      <c r="A727" s="185" t="s">
        <v>1725</v>
      </c>
      <c r="B727" s="185" t="s">
        <v>1728</v>
      </c>
      <c r="C727" s="186" t="s">
        <v>180</v>
      </c>
      <c r="D727" s="185" t="s">
        <v>360</v>
      </c>
      <c r="E727" s="185"/>
      <c r="F727" s="185">
        <v>2150</v>
      </c>
      <c r="G727" s="185" t="s">
        <v>352</v>
      </c>
      <c r="H727" s="187"/>
      <c r="I727" s="188"/>
      <c r="J727" s="189">
        <v>6.3666666666666698</v>
      </c>
    </row>
    <row r="728" spans="1:10">
      <c r="A728" s="185" t="s">
        <v>1729</v>
      </c>
      <c r="B728" s="185" t="s">
        <v>1730</v>
      </c>
      <c r="C728" s="186" t="s">
        <v>180</v>
      </c>
      <c r="D728" s="185" t="s">
        <v>360</v>
      </c>
      <c r="E728" s="185"/>
      <c r="F728" s="185">
        <v>2150</v>
      </c>
      <c r="G728" s="185" t="s">
        <v>352</v>
      </c>
      <c r="H728" s="187"/>
      <c r="I728" s="188"/>
      <c r="J728" s="189">
        <v>53.3333333333333</v>
      </c>
    </row>
    <row r="729" spans="1:10">
      <c r="A729" s="185" t="s">
        <v>1731</v>
      </c>
      <c r="B729" s="185" t="s">
        <v>1732</v>
      </c>
      <c r="C729" s="186" t="s">
        <v>180</v>
      </c>
      <c r="D729" s="185">
        <v>0</v>
      </c>
      <c r="E729" s="185"/>
      <c r="F729" s="185">
        <v>4150</v>
      </c>
      <c r="G729" s="185" t="s">
        <v>347</v>
      </c>
      <c r="H729" s="187"/>
      <c r="I729" s="188"/>
      <c r="J729" s="189">
        <v>0.138333333333333</v>
      </c>
    </row>
    <row r="730" spans="1:10">
      <c r="A730" s="185" t="s">
        <v>1952</v>
      </c>
      <c r="B730" s="185" t="s">
        <v>1953</v>
      </c>
      <c r="C730" s="186" t="s">
        <v>180</v>
      </c>
      <c r="D730" s="185">
        <v>0</v>
      </c>
      <c r="E730" s="185"/>
      <c r="F730" s="185">
        <v>4150</v>
      </c>
      <c r="G730" s="185" t="s">
        <v>374</v>
      </c>
      <c r="H730" s="187"/>
      <c r="I730" s="188"/>
      <c r="J730" s="189">
        <v>140.87142857142899</v>
      </c>
    </row>
    <row r="731" spans="1:10">
      <c r="A731" s="185" t="s">
        <v>2072</v>
      </c>
      <c r="B731" s="185" t="s">
        <v>2073</v>
      </c>
      <c r="C731" s="186" t="s">
        <v>180</v>
      </c>
      <c r="D731" s="185">
        <v>0</v>
      </c>
      <c r="E731" s="185"/>
      <c r="F731" s="185">
        <v>2150</v>
      </c>
      <c r="G731" s="185" t="s">
        <v>352</v>
      </c>
      <c r="H731" s="187"/>
      <c r="I731" s="188"/>
      <c r="J731" s="189">
        <v>21.6666666666667</v>
      </c>
    </row>
    <row r="732" spans="1:10">
      <c r="A732" s="185" t="s">
        <v>2074</v>
      </c>
      <c r="B732" s="185" t="s">
        <v>2075</v>
      </c>
      <c r="C732" s="186" t="s">
        <v>180</v>
      </c>
      <c r="D732" s="185">
        <v>0</v>
      </c>
      <c r="E732" s="185"/>
      <c r="F732" s="185">
        <v>4150</v>
      </c>
      <c r="G732" s="185" t="s">
        <v>357</v>
      </c>
      <c r="H732" s="187"/>
      <c r="I732" s="188"/>
      <c r="J732" s="189">
        <v>41.6666666666667</v>
      </c>
    </row>
    <row r="733" spans="1:10">
      <c r="A733" s="185" t="s">
        <v>2076</v>
      </c>
      <c r="B733" s="185" t="s">
        <v>2077</v>
      </c>
      <c r="C733" s="186" t="s">
        <v>180</v>
      </c>
      <c r="D733" s="185">
        <v>0</v>
      </c>
      <c r="E733" s="185"/>
      <c r="F733" s="185">
        <v>2150</v>
      </c>
      <c r="G733" s="185" t="s">
        <v>352</v>
      </c>
      <c r="H733" s="187"/>
      <c r="I733" s="188"/>
      <c r="J733" s="189">
        <v>3.3333333333333299</v>
      </c>
    </row>
    <row r="734" spans="1:10">
      <c r="A734" s="185" t="s">
        <v>1954</v>
      </c>
      <c r="B734" s="185" t="s">
        <v>1955</v>
      </c>
      <c r="C734" s="186" t="s">
        <v>180</v>
      </c>
      <c r="D734" s="185">
        <v>0</v>
      </c>
      <c r="E734" s="185"/>
      <c r="F734" s="185">
        <v>2150</v>
      </c>
      <c r="G734" s="185" t="s">
        <v>352</v>
      </c>
      <c r="H734" s="187"/>
      <c r="I734" s="188"/>
      <c r="J734" s="189">
        <v>14.3</v>
      </c>
    </row>
    <row r="735" spans="1:10">
      <c r="A735" s="185" t="s">
        <v>2078</v>
      </c>
      <c r="B735" s="185" t="s">
        <v>2079</v>
      </c>
      <c r="C735" s="186" t="s">
        <v>180</v>
      </c>
      <c r="D735" s="185">
        <v>0</v>
      </c>
      <c r="E735" s="185"/>
      <c r="F735" s="185">
        <v>4150</v>
      </c>
      <c r="G735" s="185" t="s">
        <v>374</v>
      </c>
      <c r="H735" s="187"/>
      <c r="I735" s="188"/>
      <c r="J735" s="189">
        <v>875.357142857143</v>
      </c>
    </row>
    <row r="736" spans="1:10">
      <c r="A736" s="185" t="s">
        <v>1956</v>
      </c>
      <c r="B736" s="185" t="s">
        <v>1957</v>
      </c>
      <c r="C736" s="186" t="s">
        <v>180</v>
      </c>
      <c r="D736" s="185">
        <v>0</v>
      </c>
      <c r="E736" s="185"/>
      <c r="F736" s="185">
        <v>4150</v>
      </c>
      <c r="G736" s="185" t="s">
        <v>374</v>
      </c>
      <c r="H736" s="187"/>
      <c r="I736" s="188"/>
      <c r="J736" s="189">
        <v>948.642857142857</v>
      </c>
    </row>
    <row r="737" spans="1:10">
      <c r="A737" s="185" t="s">
        <v>2181</v>
      </c>
      <c r="B737" s="185" t="s">
        <v>2182</v>
      </c>
      <c r="C737" s="186" t="s">
        <v>180</v>
      </c>
      <c r="D737" s="185">
        <v>0</v>
      </c>
      <c r="E737" s="185"/>
      <c r="F737" s="185">
        <v>4150</v>
      </c>
      <c r="G737" s="185" t="s">
        <v>374</v>
      </c>
      <c r="H737" s="187"/>
      <c r="I737" s="188"/>
      <c r="J737" s="189">
        <v>283.57142857142901</v>
      </c>
    </row>
    <row r="738" spans="1:10">
      <c r="A738" s="185" t="s">
        <v>1958</v>
      </c>
      <c r="B738" s="185" t="s">
        <v>1959</v>
      </c>
      <c r="C738" s="186" t="s">
        <v>180</v>
      </c>
      <c r="D738" s="185">
        <v>0</v>
      </c>
      <c r="E738" s="185"/>
      <c r="F738" s="185">
        <v>4150</v>
      </c>
      <c r="G738" s="185" t="s">
        <v>374</v>
      </c>
      <c r="H738" s="187"/>
      <c r="I738" s="188"/>
      <c r="J738" s="189">
        <v>84.285714285714306</v>
      </c>
    </row>
    <row r="739" spans="1:10">
      <c r="A739" s="185" t="s">
        <v>1960</v>
      </c>
      <c r="B739" s="185" t="s">
        <v>1961</v>
      </c>
      <c r="C739" s="186" t="s">
        <v>180</v>
      </c>
      <c r="D739" s="185">
        <v>0</v>
      </c>
      <c r="E739" s="185"/>
      <c r="F739" s="185">
        <v>2150</v>
      </c>
      <c r="G739" s="185" t="s">
        <v>352</v>
      </c>
      <c r="H739" s="187"/>
      <c r="I739" s="188"/>
      <c r="J739" s="189">
        <v>13.3333333333333</v>
      </c>
    </row>
    <row r="740" spans="1:10">
      <c r="A740" s="185" t="s">
        <v>1962</v>
      </c>
      <c r="B740" s="185" t="s">
        <v>1963</v>
      </c>
      <c r="C740" s="186" t="s">
        <v>180</v>
      </c>
      <c r="D740" s="185" t="s">
        <v>360</v>
      </c>
      <c r="E740" s="185"/>
      <c r="F740" s="185">
        <v>2150</v>
      </c>
      <c r="G740" s="185" t="s">
        <v>352</v>
      </c>
      <c r="H740" s="187"/>
      <c r="I740" s="188"/>
      <c r="J740" s="189">
        <v>16.6666666666667</v>
      </c>
    </row>
    <row r="741" spans="1:10">
      <c r="A741" s="185" t="s">
        <v>1964</v>
      </c>
      <c r="B741" s="185" t="s">
        <v>1965</v>
      </c>
      <c r="C741" s="186" t="s">
        <v>180</v>
      </c>
      <c r="D741" s="185" t="s">
        <v>360</v>
      </c>
      <c r="E741" s="185"/>
      <c r="F741" s="185">
        <v>2150</v>
      </c>
      <c r="G741" s="185" t="s">
        <v>352</v>
      </c>
      <c r="H741" s="187"/>
      <c r="I741" s="188"/>
      <c r="J741" s="189">
        <v>28.571428571428601</v>
      </c>
    </row>
    <row r="742" spans="1:10">
      <c r="A742" s="185" t="s">
        <v>1966</v>
      </c>
      <c r="B742" s="185" t="s">
        <v>1967</v>
      </c>
      <c r="C742" s="186" t="s">
        <v>180</v>
      </c>
      <c r="D742" s="185">
        <v>0</v>
      </c>
      <c r="E742" s="185"/>
      <c r="F742" s="185">
        <v>2150</v>
      </c>
      <c r="G742" s="185" t="s">
        <v>352</v>
      </c>
      <c r="H742" s="187"/>
      <c r="I742" s="188"/>
      <c r="J742" s="189">
        <v>33.3333333333333</v>
      </c>
    </row>
    <row r="743" spans="1:10">
      <c r="A743" s="185" t="s">
        <v>1968</v>
      </c>
      <c r="B743" s="185" t="s">
        <v>1969</v>
      </c>
      <c r="C743" s="186" t="s">
        <v>180</v>
      </c>
      <c r="D743" s="185">
        <v>0</v>
      </c>
      <c r="E743" s="185"/>
      <c r="F743" s="185">
        <v>2150</v>
      </c>
      <c r="G743" s="185" t="s">
        <v>352</v>
      </c>
      <c r="H743" s="187"/>
      <c r="I743" s="188"/>
      <c r="J743" s="189">
        <v>30</v>
      </c>
    </row>
    <row r="744" spans="1:10">
      <c r="A744" s="185" t="s">
        <v>1970</v>
      </c>
      <c r="B744" s="185" t="s">
        <v>1971</v>
      </c>
      <c r="C744" s="186" t="s">
        <v>180</v>
      </c>
      <c r="D744" s="185">
        <v>0</v>
      </c>
      <c r="E744" s="185"/>
      <c r="F744" s="185">
        <v>2150</v>
      </c>
      <c r="G744" s="185" t="s">
        <v>352</v>
      </c>
      <c r="H744" s="187"/>
      <c r="I744" s="188"/>
      <c r="J744" s="189">
        <v>15.6666666666667</v>
      </c>
    </row>
    <row r="745" spans="1:10">
      <c r="A745" s="185" t="s">
        <v>1972</v>
      </c>
      <c r="B745" s="185" t="s">
        <v>1973</v>
      </c>
      <c r="C745" s="186" t="s">
        <v>180</v>
      </c>
      <c r="D745" s="185">
        <v>0</v>
      </c>
      <c r="E745" s="185"/>
      <c r="F745" s="185">
        <v>2150</v>
      </c>
      <c r="G745" s="185" t="s">
        <v>352</v>
      </c>
      <c r="H745" s="187"/>
      <c r="I745" s="188"/>
      <c r="J745" s="189">
        <v>3.8333333333333299</v>
      </c>
    </row>
    <row r="746" spans="1:10">
      <c r="A746" s="185" t="s">
        <v>1974</v>
      </c>
      <c r="B746" s="185" t="s">
        <v>1975</v>
      </c>
      <c r="C746" s="186" t="s">
        <v>176</v>
      </c>
      <c r="D746" s="185">
        <v>0</v>
      </c>
      <c r="E746" s="185"/>
      <c r="F746" s="185">
        <v>2100</v>
      </c>
      <c r="G746" s="185" t="s">
        <v>366</v>
      </c>
      <c r="H746" s="187"/>
      <c r="I746" s="188"/>
      <c r="J746" s="189">
        <v>0.7</v>
      </c>
    </row>
    <row r="747" spans="1:10">
      <c r="A747" s="185" t="s">
        <v>1976</v>
      </c>
      <c r="B747" s="185" t="s">
        <v>1977</v>
      </c>
      <c r="C747" s="186" t="s">
        <v>176</v>
      </c>
      <c r="D747" s="185">
        <v>0</v>
      </c>
      <c r="E747" s="185"/>
      <c r="F747" s="185">
        <v>2100</v>
      </c>
      <c r="G747" s="185" t="s">
        <v>369</v>
      </c>
      <c r="H747" s="187"/>
      <c r="I747" s="188"/>
      <c r="J747" s="189">
        <v>0.6</v>
      </c>
    </row>
    <row r="748" spans="1:10">
      <c r="A748" s="185" t="s">
        <v>1978</v>
      </c>
      <c r="B748" s="185" t="s">
        <v>1979</v>
      </c>
      <c r="C748" s="186" t="s">
        <v>176</v>
      </c>
      <c r="D748" s="185">
        <v>0</v>
      </c>
      <c r="E748" s="185"/>
      <c r="F748" s="185">
        <v>2100</v>
      </c>
      <c r="G748" s="185" t="s">
        <v>369</v>
      </c>
      <c r="H748" s="187"/>
      <c r="I748" s="188"/>
      <c r="J748" s="189">
        <v>0.6</v>
      </c>
    </row>
    <row r="749" spans="1:10">
      <c r="A749" s="185" t="s">
        <v>1980</v>
      </c>
      <c r="B749" s="185" t="s">
        <v>1981</v>
      </c>
      <c r="C749" s="186" t="s">
        <v>180</v>
      </c>
      <c r="D749" s="185">
        <v>0</v>
      </c>
      <c r="E749" s="185"/>
      <c r="F749" s="185">
        <v>2150</v>
      </c>
      <c r="G749" s="185" t="s">
        <v>352</v>
      </c>
      <c r="H749" s="187"/>
      <c r="I749" s="188"/>
      <c r="J749" s="189">
        <v>28.571428571428601</v>
      </c>
    </row>
    <row r="750" spans="1:10">
      <c r="A750" s="185" t="s">
        <v>1982</v>
      </c>
      <c r="B750" s="185" t="s">
        <v>1983</v>
      </c>
      <c r="C750" s="186" t="s">
        <v>176</v>
      </c>
      <c r="D750" s="185" t="s">
        <v>360</v>
      </c>
      <c r="E750" s="185"/>
      <c r="F750" s="185">
        <v>2100</v>
      </c>
      <c r="G750" s="185" t="s">
        <v>419</v>
      </c>
      <c r="H750" s="187"/>
      <c r="I750" s="188"/>
      <c r="J750" s="189">
        <v>0.3</v>
      </c>
    </row>
    <row r="751" spans="1:10">
      <c r="A751" s="185" t="s">
        <v>1984</v>
      </c>
      <c r="B751" s="185" t="s">
        <v>1985</v>
      </c>
      <c r="C751" s="186" t="s">
        <v>180</v>
      </c>
      <c r="D751" s="185">
        <v>0</v>
      </c>
      <c r="E751" s="185"/>
      <c r="F751" s="185">
        <v>2150</v>
      </c>
      <c r="G751" s="185" t="s">
        <v>352</v>
      </c>
      <c r="H751" s="187"/>
      <c r="I751" s="188"/>
      <c r="J751" s="189">
        <v>7.2666666666666702</v>
      </c>
    </row>
    <row r="752" spans="1:10">
      <c r="A752" s="185" t="s">
        <v>1986</v>
      </c>
      <c r="B752" s="185" t="s">
        <v>1987</v>
      </c>
      <c r="C752" s="186" t="s">
        <v>176</v>
      </c>
      <c r="D752" s="185">
        <v>0</v>
      </c>
      <c r="E752" s="185"/>
      <c r="F752" s="185">
        <v>2100</v>
      </c>
      <c r="G752" s="185" t="s">
        <v>419</v>
      </c>
      <c r="H752" s="187"/>
      <c r="I752" s="188"/>
      <c r="J752" s="189">
        <v>0.3</v>
      </c>
    </row>
    <row r="753" spans="1:10">
      <c r="A753" s="185" t="s">
        <v>1988</v>
      </c>
      <c r="B753" s="185" t="s">
        <v>1989</v>
      </c>
      <c r="C753" s="186" t="s">
        <v>180</v>
      </c>
      <c r="D753" s="185">
        <v>0</v>
      </c>
      <c r="E753" s="185"/>
      <c r="F753" s="185">
        <v>2150</v>
      </c>
      <c r="G753" s="185" t="s">
        <v>352</v>
      </c>
      <c r="H753" s="187"/>
      <c r="I753" s="188"/>
      <c r="J753" s="189">
        <v>71.428571428571402</v>
      </c>
    </row>
    <row r="754" spans="1:10">
      <c r="A754" s="185" t="s">
        <v>1990</v>
      </c>
      <c r="B754" s="185" t="s">
        <v>1991</v>
      </c>
      <c r="C754" s="186" t="s">
        <v>180</v>
      </c>
      <c r="D754" s="185">
        <v>0</v>
      </c>
      <c r="E754" s="185"/>
      <c r="F754" s="185">
        <v>2150</v>
      </c>
      <c r="G754" s="185" t="s">
        <v>352</v>
      </c>
      <c r="H754" s="187"/>
      <c r="I754" s="188"/>
      <c r="J754" s="189">
        <v>71.428571428571402</v>
      </c>
    </row>
    <row r="755" spans="1:10">
      <c r="A755" s="185" t="s">
        <v>1992</v>
      </c>
      <c r="B755" s="185" t="s">
        <v>1993</v>
      </c>
      <c r="C755" s="186" t="s">
        <v>180</v>
      </c>
      <c r="D755" s="185">
        <v>0</v>
      </c>
      <c r="E755" s="185"/>
      <c r="F755" s="185">
        <v>2150</v>
      </c>
      <c r="G755" s="185" t="s">
        <v>352</v>
      </c>
      <c r="H755" s="187"/>
      <c r="I755" s="188"/>
      <c r="J755" s="189">
        <v>10</v>
      </c>
    </row>
    <row r="756" spans="1:10">
      <c r="A756" s="185" t="s">
        <v>1994</v>
      </c>
      <c r="B756" s="185" t="s">
        <v>1995</v>
      </c>
      <c r="C756" s="186" t="s">
        <v>180</v>
      </c>
      <c r="D756" s="185">
        <v>0</v>
      </c>
      <c r="E756" s="185"/>
      <c r="F756" s="185">
        <v>4150</v>
      </c>
      <c r="G756" s="185" t="s">
        <v>347</v>
      </c>
      <c r="H756" s="187"/>
      <c r="I756" s="188"/>
      <c r="J756" s="189">
        <v>6.6666666666666696</v>
      </c>
    </row>
    <row r="757" spans="1:10">
      <c r="A757" s="185" t="s">
        <v>1996</v>
      </c>
      <c r="B757" s="185" t="s">
        <v>2080</v>
      </c>
      <c r="C757" s="186" t="s">
        <v>180</v>
      </c>
      <c r="D757" s="185">
        <v>0</v>
      </c>
      <c r="E757" s="185"/>
      <c r="F757" s="185">
        <v>2150</v>
      </c>
      <c r="G757" s="185" t="s">
        <v>352</v>
      </c>
      <c r="H757" s="187"/>
      <c r="I757" s="188"/>
      <c r="J757" s="189">
        <v>6.6666666666666696</v>
      </c>
    </row>
    <row r="758" spans="1:10">
      <c r="A758" s="185" t="s">
        <v>1998</v>
      </c>
      <c r="B758" s="185" t="s">
        <v>1999</v>
      </c>
      <c r="C758" s="186" t="s">
        <v>180</v>
      </c>
      <c r="D758" s="185" t="s">
        <v>360</v>
      </c>
      <c r="E758" s="185"/>
      <c r="F758" s="185">
        <v>2150</v>
      </c>
      <c r="G758" s="185" t="s">
        <v>352</v>
      </c>
      <c r="H758" s="187"/>
      <c r="I758" s="188"/>
      <c r="J758" s="189">
        <v>8.3333333333333304</v>
      </c>
    </row>
    <row r="759" spans="1:10">
      <c r="A759" s="185" t="s">
        <v>2000</v>
      </c>
      <c r="B759" s="185" t="s">
        <v>2001</v>
      </c>
      <c r="C759" s="186" t="s">
        <v>180</v>
      </c>
      <c r="D759" s="185">
        <v>0</v>
      </c>
      <c r="E759" s="185"/>
      <c r="F759" s="185">
        <v>2150</v>
      </c>
      <c r="G759" s="185" t="s">
        <v>352</v>
      </c>
      <c r="H759" s="187"/>
      <c r="I759" s="188"/>
      <c r="J759" s="189">
        <v>20</v>
      </c>
    </row>
    <row r="760" spans="1:10">
      <c r="A760" s="185" t="s">
        <v>2002</v>
      </c>
      <c r="B760" s="185" t="s">
        <v>2003</v>
      </c>
      <c r="C760" s="186" t="s">
        <v>180</v>
      </c>
      <c r="D760" s="185">
        <v>0</v>
      </c>
      <c r="E760" s="185"/>
      <c r="F760" s="185">
        <v>2150</v>
      </c>
      <c r="G760" s="185" t="s">
        <v>347</v>
      </c>
      <c r="H760" s="187"/>
      <c r="I760" s="188"/>
      <c r="J760" s="189">
        <v>0.22500000000000001</v>
      </c>
    </row>
    <row r="761" spans="1:10">
      <c r="A761" s="185" t="s">
        <v>2004</v>
      </c>
      <c r="B761" s="185" t="s">
        <v>2005</v>
      </c>
      <c r="C761" s="186" t="s">
        <v>180</v>
      </c>
      <c r="D761" s="185">
        <v>0</v>
      </c>
      <c r="E761" s="185"/>
      <c r="F761" s="185">
        <v>4150</v>
      </c>
      <c r="G761" s="185" t="s">
        <v>357</v>
      </c>
      <c r="H761" s="187"/>
      <c r="I761" s="188"/>
      <c r="J761" s="189">
        <v>5.1555555555555603</v>
      </c>
    </row>
    <row r="762" spans="1:10">
      <c r="A762" s="185" t="s">
        <v>2006</v>
      </c>
      <c r="B762" s="185" t="s">
        <v>2007</v>
      </c>
      <c r="C762" s="186" t="s">
        <v>180</v>
      </c>
      <c r="D762" s="185">
        <v>0</v>
      </c>
      <c r="E762" s="185"/>
      <c r="F762" s="185">
        <v>4150</v>
      </c>
      <c r="G762" s="185" t="s">
        <v>357</v>
      </c>
      <c r="H762" s="187"/>
      <c r="I762" s="188"/>
      <c r="J762" s="189">
        <v>9.4</v>
      </c>
    </row>
    <row r="763" spans="1:10">
      <c r="A763" s="185" t="s">
        <v>2008</v>
      </c>
      <c r="B763" s="185" t="s">
        <v>2009</v>
      </c>
      <c r="C763" s="186" t="s">
        <v>180</v>
      </c>
      <c r="D763" s="185">
        <v>0</v>
      </c>
      <c r="E763" s="185"/>
      <c r="F763" s="185">
        <v>2150</v>
      </c>
      <c r="G763" s="185" t="s">
        <v>352</v>
      </c>
      <c r="H763" s="187"/>
      <c r="I763" s="188"/>
      <c r="J763" s="189">
        <v>4.6666666666666696</v>
      </c>
    </row>
    <row r="764" spans="1:10">
      <c r="A764" s="185" t="s">
        <v>2010</v>
      </c>
      <c r="B764" s="185" t="s">
        <v>2081</v>
      </c>
      <c r="C764" s="186" t="s">
        <v>180</v>
      </c>
      <c r="D764" s="185">
        <v>0</v>
      </c>
      <c r="E764" s="185"/>
      <c r="F764" s="185">
        <v>4150</v>
      </c>
      <c r="G764" s="185" t="s">
        <v>357</v>
      </c>
      <c r="H764" s="187"/>
      <c r="I764" s="188"/>
      <c r="J764" s="189">
        <v>3.7111111111111099</v>
      </c>
    </row>
    <row r="765" spans="1:10">
      <c r="A765" s="185" t="s">
        <v>2011</v>
      </c>
      <c r="B765" s="185" t="s">
        <v>2082</v>
      </c>
      <c r="C765" s="186" t="s">
        <v>180</v>
      </c>
      <c r="D765" s="185">
        <v>0</v>
      </c>
      <c r="E765" s="185"/>
      <c r="F765" s="185">
        <v>2150</v>
      </c>
      <c r="G765" s="185" t="s">
        <v>352</v>
      </c>
      <c r="H765" s="187"/>
      <c r="I765" s="188"/>
      <c r="J765" s="189">
        <v>10</v>
      </c>
    </row>
    <row r="766" spans="1:10">
      <c r="A766" s="185" t="s">
        <v>2012</v>
      </c>
      <c r="B766" s="185" t="s">
        <v>2083</v>
      </c>
      <c r="C766" s="186" t="s">
        <v>180</v>
      </c>
      <c r="D766" s="185">
        <v>0</v>
      </c>
      <c r="E766" s="185"/>
      <c r="F766" s="185">
        <v>2150</v>
      </c>
      <c r="G766" s="185" t="s">
        <v>352</v>
      </c>
      <c r="H766" s="187"/>
      <c r="I766" s="188"/>
      <c r="J766" s="189">
        <v>10</v>
      </c>
    </row>
    <row r="767" spans="1:10">
      <c r="A767" s="185" t="s">
        <v>2013</v>
      </c>
      <c r="B767" s="185" t="s">
        <v>2084</v>
      </c>
      <c r="C767" s="186" t="s">
        <v>180</v>
      </c>
      <c r="D767" s="185">
        <v>0</v>
      </c>
      <c r="E767" s="185"/>
      <c r="F767" s="185">
        <v>4150</v>
      </c>
      <c r="G767" s="185" t="s">
        <v>357</v>
      </c>
      <c r="H767" s="187"/>
      <c r="I767" s="188"/>
      <c r="J767" s="189">
        <v>10.5555555555556</v>
      </c>
    </row>
    <row r="768" spans="1:10">
      <c r="A768" s="185" t="s">
        <v>2014</v>
      </c>
      <c r="B768" s="185" t="s">
        <v>2085</v>
      </c>
      <c r="C768" s="186" t="s">
        <v>180</v>
      </c>
      <c r="D768" s="185" t="s">
        <v>360</v>
      </c>
      <c r="E768" s="185"/>
      <c r="F768" s="185">
        <v>4150</v>
      </c>
      <c r="G768" s="185" t="s">
        <v>357</v>
      </c>
      <c r="H768" s="187"/>
      <c r="I768" s="188"/>
      <c r="J768" s="189">
        <v>10</v>
      </c>
    </row>
    <row r="769" spans="1:10">
      <c r="A769" s="185" t="s">
        <v>2015</v>
      </c>
      <c r="B769" s="185" t="s">
        <v>2016</v>
      </c>
      <c r="C769" s="186" t="s">
        <v>180</v>
      </c>
      <c r="D769" s="185">
        <v>0</v>
      </c>
      <c r="E769" s="185"/>
      <c r="F769" s="185">
        <v>4150</v>
      </c>
      <c r="G769" s="185" t="s">
        <v>357</v>
      </c>
      <c r="H769" s="187"/>
      <c r="I769" s="188"/>
      <c r="J769" s="189">
        <v>7.2222222222222197</v>
      </c>
    </row>
    <row r="770" spans="1:10">
      <c r="A770" s="185" t="s">
        <v>2017</v>
      </c>
      <c r="B770" s="185" t="s">
        <v>2018</v>
      </c>
      <c r="C770" s="186" t="s">
        <v>180</v>
      </c>
      <c r="D770" s="185">
        <v>0</v>
      </c>
      <c r="E770" s="185"/>
      <c r="F770" s="185">
        <v>4150</v>
      </c>
      <c r="G770" s="185" t="s">
        <v>357</v>
      </c>
      <c r="H770" s="187"/>
      <c r="I770" s="188"/>
      <c r="J770" s="189">
        <v>0.11111111111111099</v>
      </c>
    </row>
    <row r="771" spans="1:10">
      <c r="A771" s="185" t="s">
        <v>2019</v>
      </c>
      <c r="B771" s="185" t="s">
        <v>2020</v>
      </c>
      <c r="C771" s="186" t="s">
        <v>180</v>
      </c>
      <c r="D771" s="185">
        <v>0</v>
      </c>
      <c r="E771" s="185"/>
      <c r="F771" s="185">
        <v>4150</v>
      </c>
      <c r="G771" s="185" t="s">
        <v>357</v>
      </c>
      <c r="H771" s="187"/>
      <c r="I771" s="188"/>
      <c r="J771" s="189">
        <v>0.6</v>
      </c>
    </row>
    <row r="772" spans="1:10">
      <c r="A772" s="185" t="s">
        <v>2021</v>
      </c>
      <c r="B772" s="185" t="s">
        <v>2022</v>
      </c>
      <c r="C772" s="186" t="s">
        <v>180</v>
      </c>
      <c r="D772" s="185">
        <v>0</v>
      </c>
      <c r="E772" s="185"/>
      <c r="F772" s="185">
        <v>4150</v>
      </c>
      <c r="G772" s="185" t="s">
        <v>357</v>
      </c>
      <c r="H772" s="187"/>
      <c r="I772" s="188"/>
      <c r="J772" s="189">
        <v>0.22222222222222199</v>
      </c>
    </row>
    <row r="773" spans="1:10">
      <c r="A773" s="185" t="s">
        <v>2023</v>
      </c>
      <c r="B773" s="185" t="s">
        <v>2024</v>
      </c>
      <c r="C773" s="186" t="s">
        <v>180</v>
      </c>
      <c r="D773" s="185">
        <v>0</v>
      </c>
      <c r="E773" s="185"/>
      <c r="F773" s="185">
        <v>4150</v>
      </c>
      <c r="G773" s="185" t="s">
        <v>357</v>
      </c>
      <c r="H773" s="187"/>
      <c r="I773" s="188"/>
      <c r="J773" s="189">
        <v>5.5555555555555598</v>
      </c>
    </row>
    <row r="774" spans="1:10">
      <c r="A774" s="185" t="s">
        <v>2025</v>
      </c>
      <c r="B774" s="185" t="s">
        <v>2026</v>
      </c>
      <c r="C774" s="186" t="s">
        <v>180</v>
      </c>
      <c r="D774" s="185">
        <v>0</v>
      </c>
      <c r="E774" s="185"/>
      <c r="F774" s="185">
        <v>4150</v>
      </c>
      <c r="G774" s="185" t="s">
        <v>357</v>
      </c>
      <c r="H774" s="187"/>
      <c r="I774" s="188"/>
      <c r="J774" s="189">
        <v>4.8888888888888902</v>
      </c>
    </row>
    <row r="775" spans="1:10">
      <c r="A775" s="185" t="s">
        <v>2027</v>
      </c>
      <c r="B775" s="185" t="s">
        <v>2028</v>
      </c>
      <c r="C775" s="186" t="s">
        <v>180</v>
      </c>
      <c r="D775" s="185">
        <v>0</v>
      </c>
      <c r="E775" s="185"/>
      <c r="F775" s="185">
        <v>4150</v>
      </c>
      <c r="G775" s="185" t="s">
        <v>357</v>
      </c>
      <c r="H775" s="187"/>
      <c r="I775" s="188"/>
      <c r="J775" s="189">
        <v>12.2222222222222</v>
      </c>
    </row>
    <row r="776" spans="1:10">
      <c r="A776" s="185" t="s">
        <v>2029</v>
      </c>
      <c r="B776" s="185" t="s">
        <v>2030</v>
      </c>
      <c r="C776" s="186" t="s">
        <v>180</v>
      </c>
      <c r="D776" s="185">
        <v>0</v>
      </c>
      <c r="E776" s="185"/>
      <c r="F776" s="185">
        <v>4150</v>
      </c>
      <c r="G776" s="185" t="s">
        <v>357</v>
      </c>
      <c r="H776" s="187"/>
      <c r="I776" s="188"/>
      <c r="J776" s="189">
        <v>9.5111111111111093</v>
      </c>
    </row>
    <row r="777" spans="1:10">
      <c r="A777" s="185" t="s">
        <v>2031</v>
      </c>
      <c r="B777" s="185" t="s">
        <v>2032</v>
      </c>
      <c r="C777" s="186" t="s">
        <v>180</v>
      </c>
      <c r="D777" s="185">
        <v>0</v>
      </c>
      <c r="E777" s="185"/>
      <c r="F777" s="185">
        <v>2150</v>
      </c>
      <c r="G777" s="185" t="s">
        <v>352</v>
      </c>
      <c r="H777" s="187"/>
      <c r="I777" s="188"/>
      <c r="J777" s="189">
        <v>30</v>
      </c>
    </row>
    <row r="778" spans="1:10">
      <c r="A778" s="185" t="s">
        <v>2033</v>
      </c>
      <c r="B778" s="185" t="s">
        <v>2034</v>
      </c>
      <c r="C778" s="186" t="s">
        <v>176</v>
      </c>
      <c r="D778" s="185">
        <v>0</v>
      </c>
      <c r="E778" s="185"/>
      <c r="F778" s="185">
        <v>2100</v>
      </c>
      <c r="G778" s="185" t="s">
        <v>419</v>
      </c>
      <c r="H778" s="187"/>
      <c r="I778" s="188"/>
      <c r="J778" s="189">
        <v>0.3</v>
      </c>
    </row>
    <row r="779" spans="1:10">
      <c r="A779" s="185" t="s">
        <v>2035</v>
      </c>
      <c r="B779" s="185" t="s">
        <v>2036</v>
      </c>
      <c r="C779" s="186" t="s">
        <v>180</v>
      </c>
      <c r="D779" s="185">
        <v>0</v>
      </c>
      <c r="E779" s="185"/>
      <c r="F779" s="185">
        <v>2150</v>
      </c>
      <c r="G779" s="185" t="s">
        <v>352</v>
      </c>
      <c r="H779" s="187"/>
      <c r="I779" s="188"/>
      <c r="J779" s="189">
        <v>2</v>
      </c>
    </row>
    <row r="780" spans="1:10">
      <c r="A780" s="185" t="s">
        <v>2037</v>
      </c>
      <c r="B780" s="185" t="s">
        <v>2038</v>
      </c>
      <c r="C780" s="186" t="s">
        <v>180</v>
      </c>
      <c r="D780" s="185">
        <v>0</v>
      </c>
      <c r="E780" s="185"/>
      <c r="F780" s="185">
        <v>2150</v>
      </c>
      <c r="G780" s="185" t="s">
        <v>352</v>
      </c>
      <c r="H780" s="187"/>
      <c r="I780" s="188"/>
      <c r="J780" s="189">
        <v>19.733333333333299</v>
      </c>
    </row>
    <row r="781" spans="1:10">
      <c r="A781" s="185" t="s">
        <v>2039</v>
      </c>
      <c r="B781" s="185" t="s">
        <v>2040</v>
      </c>
      <c r="C781" s="186" t="s">
        <v>176</v>
      </c>
      <c r="D781" s="185">
        <v>0</v>
      </c>
      <c r="E781" s="185"/>
      <c r="F781" s="185">
        <v>2100</v>
      </c>
      <c r="G781" s="185" t="s">
        <v>419</v>
      </c>
      <c r="H781" s="187"/>
      <c r="I781" s="188"/>
      <c r="J781" s="189">
        <v>0.3</v>
      </c>
    </row>
    <row r="782" spans="1:10">
      <c r="A782" s="185" t="s">
        <v>2086</v>
      </c>
      <c r="B782" s="185" t="s">
        <v>2087</v>
      </c>
      <c r="C782" s="186" t="s">
        <v>180</v>
      </c>
      <c r="D782" s="185">
        <v>0</v>
      </c>
      <c r="E782" s="185"/>
      <c r="F782" s="185">
        <v>4150</v>
      </c>
      <c r="G782" s="185" t="s">
        <v>374</v>
      </c>
      <c r="H782" s="187"/>
      <c r="I782" s="188"/>
      <c r="J782" s="189">
        <v>11.1142857142857</v>
      </c>
    </row>
    <row r="783" spans="1:10">
      <c r="A783" s="185" t="s">
        <v>2088</v>
      </c>
      <c r="B783" s="185" t="s">
        <v>2089</v>
      </c>
      <c r="C783" s="186" t="s">
        <v>180</v>
      </c>
      <c r="D783" s="185">
        <v>0</v>
      </c>
      <c r="E783" s="185"/>
      <c r="F783" s="185">
        <v>4150</v>
      </c>
      <c r="G783" s="185" t="s">
        <v>374</v>
      </c>
      <c r="H783" s="187"/>
      <c r="I783" s="188"/>
      <c r="J783" s="189">
        <v>18.1428571428571</v>
      </c>
    </row>
    <row r="784" spans="1:10">
      <c r="A784" s="185" t="s">
        <v>2090</v>
      </c>
      <c r="B784" s="185" t="s">
        <v>2091</v>
      </c>
      <c r="C784" s="186" t="s">
        <v>180</v>
      </c>
      <c r="D784" s="185">
        <v>0</v>
      </c>
      <c r="E784" s="185"/>
      <c r="F784" s="185">
        <v>4150</v>
      </c>
      <c r="G784" s="185" t="s">
        <v>374</v>
      </c>
      <c r="H784" s="187"/>
      <c r="I784" s="188"/>
      <c r="J784" s="189">
        <v>18.1428571428571</v>
      </c>
    </row>
    <row r="785" spans="1:10">
      <c r="A785" s="185" t="s">
        <v>2092</v>
      </c>
      <c r="B785" s="185" t="s">
        <v>2093</v>
      </c>
      <c r="C785" s="186" t="s">
        <v>180</v>
      </c>
      <c r="D785" s="185">
        <v>0</v>
      </c>
      <c r="E785" s="185"/>
      <c r="F785" s="185">
        <v>4150</v>
      </c>
      <c r="G785" s="185" t="s">
        <v>374</v>
      </c>
      <c r="H785" s="187"/>
      <c r="I785" s="188"/>
      <c r="J785" s="189">
        <v>18.1428571428571</v>
      </c>
    </row>
    <row r="786" spans="1:10">
      <c r="A786" s="185" t="s">
        <v>2094</v>
      </c>
      <c r="B786" s="185" t="s">
        <v>2095</v>
      </c>
      <c r="C786" s="186" t="s">
        <v>180</v>
      </c>
      <c r="D786" s="185">
        <v>0</v>
      </c>
      <c r="E786" s="185"/>
      <c r="F786" s="185">
        <v>4150</v>
      </c>
      <c r="G786" s="185" t="s">
        <v>374</v>
      </c>
      <c r="H786" s="187"/>
      <c r="I786" s="188"/>
      <c r="J786" s="189">
        <v>24.457142857142902</v>
      </c>
    </row>
    <row r="787" spans="1:10">
      <c r="A787" s="185" t="s">
        <v>2096</v>
      </c>
      <c r="B787" s="185" t="s">
        <v>2097</v>
      </c>
      <c r="C787" s="186" t="s">
        <v>180</v>
      </c>
      <c r="D787" s="185">
        <v>0</v>
      </c>
      <c r="E787" s="185"/>
      <c r="F787" s="185">
        <v>4150</v>
      </c>
      <c r="G787" s="185" t="s">
        <v>374</v>
      </c>
      <c r="H787" s="187"/>
      <c r="I787" s="188"/>
      <c r="J787" s="189">
        <v>21.771428571428601</v>
      </c>
    </row>
    <row r="788" spans="1:10">
      <c r="A788" s="185" t="s">
        <v>2098</v>
      </c>
      <c r="B788" s="185" t="s">
        <v>2099</v>
      </c>
      <c r="C788" s="186" t="s">
        <v>180</v>
      </c>
      <c r="D788" s="185">
        <v>0</v>
      </c>
      <c r="E788" s="185"/>
      <c r="F788" s="185">
        <v>4150</v>
      </c>
      <c r="G788" s="185" t="s">
        <v>374</v>
      </c>
      <c r="H788" s="187"/>
      <c r="I788" s="188"/>
      <c r="J788" s="189">
        <v>34.428571428571402</v>
      </c>
    </row>
    <row r="789" spans="1:10">
      <c r="A789" s="185" t="s">
        <v>2100</v>
      </c>
      <c r="B789" s="185" t="s">
        <v>2101</v>
      </c>
      <c r="C789" s="186" t="s">
        <v>180</v>
      </c>
      <c r="D789" s="185">
        <v>0</v>
      </c>
      <c r="E789" s="185"/>
      <c r="F789" s="185">
        <v>4150</v>
      </c>
      <c r="G789" s="185" t="s">
        <v>374</v>
      </c>
      <c r="H789" s="187"/>
      <c r="I789" s="188"/>
      <c r="J789" s="189">
        <v>27.0571428571429</v>
      </c>
    </row>
    <row r="790" spans="1:10">
      <c r="A790" s="185" t="s">
        <v>2102</v>
      </c>
      <c r="B790" s="185" t="s">
        <v>2103</v>
      </c>
      <c r="C790" s="186" t="s">
        <v>180</v>
      </c>
      <c r="D790" s="185">
        <v>0</v>
      </c>
      <c r="E790" s="185"/>
      <c r="F790" s="185">
        <v>4150</v>
      </c>
      <c r="G790" s="185" t="s">
        <v>374</v>
      </c>
      <c r="H790" s="187"/>
      <c r="I790" s="188"/>
      <c r="J790" s="189">
        <v>41.085714285714303</v>
      </c>
    </row>
    <row r="791" spans="1:10">
      <c r="A791" s="185" t="s">
        <v>2104</v>
      </c>
      <c r="B791" s="185" t="s">
        <v>2105</v>
      </c>
      <c r="C791" s="186" t="s">
        <v>180</v>
      </c>
      <c r="D791" s="185">
        <v>0</v>
      </c>
      <c r="E791" s="185"/>
      <c r="F791" s="185">
        <v>4150</v>
      </c>
      <c r="G791" s="185" t="s">
        <v>374</v>
      </c>
      <c r="H791" s="187"/>
      <c r="I791" s="188"/>
      <c r="J791" s="189">
        <v>55.528571428571396</v>
      </c>
    </row>
    <row r="792" spans="1:10">
      <c r="A792" s="185" t="s">
        <v>2041</v>
      </c>
      <c r="B792" s="185" t="s">
        <v>2042</v>
      </c>
      <c r="C792" s="186" t="s">
        <v>176</v>
      </c>
      <c r="D792" s="185">
        <v>0</v>
      </c>
      <c r="E792" s="185"/>
      <c r="F792" s="185">
        <v>2100</v>
      </c>
      <c r="G792" s="185" t="s">
        <v>408</v>
      </c>
      <c r="H792" s="187"/>
      <c r="I792" s="188"/>
      <c r="J792" s="189">
        <v>0.6</v>
      </c>
    </row>
    <row r="793" spans="1:10">
      <c r="A793" s="185" t="s">
        <v>2043</v>
      </c>
      <c r="B793" s="185" t="s">
        <v>2044</v>
      </c>
      <c r="C793" s="186" t="s">
        <v>180</v>
      </c>
      <c r="D793" s="185">
        <v>0</v>
      </c>
      <c r="E793" s="185"/>
      <c r="F793" s="185">
        <v>4150</v>
      </c>
      <c r="G793" s="185" t="s">
        <v>357</v>
      </c>
      <c r="H793" s="187"/>
      <c r="I793" s="188"/>
      <c r="J793" s="189">
        <v>3.8</v>
      </c>
    </row>
    <row r="794" spans="1:10">
      <c r="A794" s="185" t="s">
        <v>2045</v>
      </c>
      <c r="B794" s="185" t="s">
        <v>2046</v>
      </c>
      <c r="C794" s="186" t="s">
        <v>180</v>
      </c>
      <c r="D794" s="185">
        <v>0</v>
      </c>
      <c r="E794" s="185"/>
      <c r="F794" s="185">
        <v>4150</v>
      </c>
      <c r="G794" s="185" t="s">
        <v>357</v>
      </c>
      <c r="H794" s="187"/>
      <c r="I794" s="188"/>
      <c r="J794" s="189">
        <v>44.4444444444444</v>
      </c>
    </row>
    <row r="795" spans="1:10">
      <c r="A795" s="185" t="s">
        <v>2047</v>
      </c>
      <c r="B795" s="185" t="s">
        <v>2048</v>
      </c>
      <c r="C795" s="186" t="s">
        <v>176</v>
      </c>
      <c r="D795" s="185">
        <v>0</v>
      </c>
      <c r="E795" s="185"/>
      <c r="F795" s="185">
        <v>4150</v>
      </c>
      <c r="G795" s="185" t="s">
        <v>408</v>
      </c>
      <c r="H795" s="187"/>
      <c r="I795" s="188"/>
      <c r="J795" s="189">
        <v>0.6</v>
      </c>
    </row>
    <row r="796" spans="1:10">
      <c r="A796" s="185" t="s">
        <v>2106</v>
      </c>
      <c r="B796" s="185" t="s">
        <v>2107</v>
      </c>
      <c r="C796" s="186" t="s">
        <v>180</v>
      </c>
      <c r="D796" s="185">
        <v>0</v>
      </c>
      <c r="E796" s="185"/>
      <c r="F796" s="185">
        <v>4150</v>
      </c>
      <c r="G796" s="185" t="s">
        <v>374</v>
      </c>
      <c r="H796" s="187"/>
      <c r="I796" s="188"/>
      <c r="J796" s="189">
        <v>241.6</v>
      </c>
    </row>
    <row r="797" spans="1:10">
      <c r="A797" s="185" t="s">
        <v>2108</v>
      </c>
      <c r="B797" s="185" t="s">
        <v>2109</v>
      </c>
      <c r="C797" s="186" t="s">
        <v>180</v>
      </c>
      <c r="D797" s="185">
        <v>0</v>
      </c>
      <c r="E797" s="185"/>
      <c r="F797" s="185">
        <v>4150</v>
      </c>
      <c r="G797" s="185" t="s">
        <v>374</v>
      </c>
      <c r="H797" s="187"/>
      <c r="I797" s="188"/>
      <c r="J797" s="189">
        <v>241.6</v>
      </c>
    </row>
    <row r="798" spans="1:10">
      <c r="A798" s="185" t="s">
        <v>2110</v>
      </c>
      <c r="B798" s="185" t="s">
        <v>2111</v>
      </c>
      <c r="C798" s="186" t="s">
        <v>180</v>
      </c>
      <c r="D798" s="185">
        <v>0</v>
      </c>
      <c r="E798" s="185"/>
      <c r="F798" s="185">
        <v>4150</v>
      </c>
      <c r="G798" s="185" t="s">
        <v>374</v>
      </c>
      <c r="H798" s="187"/>
      <c r="I798" s="188"/>
      <c r="J798" s="189">
        <v>241.6</v>
      </c>
    </row>
    <row r="799" spans="1:10">
      <c r="A799" s="185" t="s">
        <v>2112</v>
      </c>
      <c r="B799" s="185" t="s">
        <v>2113</v>
      </c>
      <c r="C799" s="186" t="s">
        <v>180</v>
      </c>
      <c r="D799" s="185">
        <v>0</v>
      </c>
      <c r="E799" s="185"/>
      <c r="F799" s="185">
        <v>4150</v>
      </c>
      <c r="G799" s="185" t="s">
        <v>374</v>
      </c>
      <c r="H799" s="187"/>
      <c r="I799" s="188"/>
      <c r="J799" s="189">
        <v>241.6</v>
      </c>
    </row>
    <row r="800" spans="1:10">
      <c r="A800" s="185" t="s">
        <v>2114</v>
      </c>
      <c r="B800" s="185" t="s">
        <v>2115</v>
      </c>
      <c r="C800" s="186" t="s">
        <v>180</v>
      </c>
      <c r="D800" s="185">
        <v>0</v>
      </c>
      <c r="E800" s="185"/>
      <c r="F800" s="185">
        <v>4150</v>
      </c>
      <c r="G800" s="185" t="s">
        <v>374</v>
      </c>
      <c r="H800" s="187"/>
      <c r="I800" s="188"/>
      <c r="J800" s="189">
        <v>241.6</v>
      </c>
    </row>
    <row r="801" spans="1:10">
      <c r="A801" s="185" t="s">
        <v>2116</v>
      </c>
      <c r="B801" s="185" t="s">
        <v>2117</v>
      </c>
      <c r="C801" s="186" t="s">
        <v>180</v>
      </c>
      <c r="D801" s="185">
        <v>0</v>
      </c>
      <c r="E801" s="185"/>
      <c r="F801" s="185">
        <v>4150</v>
      </c>
      <c r="G801" s="185" t="s">
        <v>374</v>
      </c>
      <c r="H801" s="187"/>
      <c r="I801" s="188"/>
      <c r="J801" s="189">
        <v>241.6</v>
      </c>
    </row>
    <row r="802" spans="1:10">
      <c r="A802" s="185" t="s">
        <v>2118</v>
      </c>
      <c r="B802" s="185" t="s">
        <v>2119</v>
      </c>
      <c r="C802" s="186" t="s">
        <v>180</v>
      </c>
      <c r="D802" s="185">
        <v>0</v>
      </c>
      <c r="E802" s="185"/>
      <c r="F802" s="185">
        <v>4150</v>
      </c>
      <c r="G802" s="185" t="s">
        <v>374</v>
      </c>
      <c r="H802" s="187"/>
      <c r="I802" s="188"/>
      <c r="J802" s="189">
        <v>271.02857142857101</v>
      </c>
    </row>
    <row r="803" spans="1:10">
      <c r="A803" s="185" t="s">
        <v>2120</v>
      </c>
      <c r="B803" s="185" t="s">
        <v>2121</v>
      </c>
      <c r="C803" s="186" t="s">
        <v>180</v>
      </c>
      <c r="D803" s="185">
        <v>0</v>
      </c>
      <c r="E803" s="185"/>
      <c r="F803" s="185">
        <v>4150</v>
      </c>
      <c r="G803" s="185" t="s">
        <v>374</v>
      </c>
      <c r="H803" s="187"/>
      <c r="I803" s="188"/>
      <c r="J803" s="189">
        <v>271.02857142857101</v>
      </c>
    </row>
    <row r="804" spans="1:10">
      <c r="A804" s="185" t="s">
        <v>2122</v>
      </c>
      <c r="B804" s="185" t="s">
        <v>2123</v>
      </c>
      <c r="C804" s="186" t="s">
        <v>180</v>
      </c>
      <c r="D804" s="185">
        <v>0</v>
      </c>
      <c r="E804" s="185"/>
      <c r="F804" s="185">
        <v>4150</v>
      </c>
      <c r="G804" s="185" t="s">
        <v>374</v>
      </c>
      <c r="H804" s="187"/>
      <c r="I804" s="188"/>
      <c r="J804" s="189">
        <v>321.57142857142901</v>
      </c>
    </row>
    <row r="805" spans="1:10">
      <c r="A805" s="185" t="s">
        <v>2124</v>
      </c>
      <c r="B805" s="185" t="s">
        <v>2125</v>
      </c>
      <c r="C805" s="186" t="s">
        <v>180</v>
      </c>
      <c r="D805" s="185">
        <v>0</v>
      </c>
      <c r="E805" s="185"/>
      <c r="F805" s="185">
        <v>4150</v>
      </c>
      <c r="G805" s="185" t="s">
        <v>374</v>
      </c>
      <c r="H805" s="187"/>
      <c r="I805" s="188"/>
      <c r="J805" s="189">
        <v>321.57142857142901</v>
      </c>
    </row>
    <row r="806" spans="1:10">
      <c r="A806" s="185" t="s">
        <v>2126</v>
      </c>
      <c r="B806" s="185" t="s">
        <v>2127</v>
      </c>
      <c r="C806" s="186" t="s">
        <v>180</v>
      </c>
      <c r="D806" s="185">
        <v>0</v>
      </c>
      <c r="E806" s="185"/>
      <c r="F806" s="185">
        <v>2150</v>
      </c>
      <c r="G806" s="185" t="s">
        <v>352</v>
      </c>
      <c r="H806" s="187"/>
      <c r="I806" s="188"/>
      <c r="J806" s="189">
        <v>225</v>
      </c>
    </row>
    <row r="807" spans="1:10">
      <c r="A807" s="185" t="s">
        <v>2128</v>
      </c>
      <c r="B807" s="185" t="s">
        <v>2129</v>
      </c>
      <c r="C807" s="186" t="s">
        <v>180</v>
      </c>
      <c r="D807" s="185">
        <v>0</v>
      </c>
      <c r="E807" s="185"/>
      <c r="F807" s="185">
        <v>2150</v>
      </c>
      <c r="G807" s="185" t="s">
        <v>352</v>
      </c>
      <c r="H807" s="187"/>
      <c r="I807" s="188"/>
      <c r="J807" s="189">
        <v>245</v>
      </c>
    </row>
    <row r="808" spans="1:10">
      <c r="A808" s="185" t="s">
        <v>2130</v>
      </c>
      <c r="B808" s="185" t="s">
        <v>2131</v>
      </c>
      <c r="C808" s="186" t="s">
        <v>180</v>
      </c>
      <c r="D808" s="185">
        <v>0</v>
      </c>
      <c r="E808" s="185"/>
      <c r="F808" s="185">
        <v>2150</v>
      </c>
      <c r="G808" s="185" t="s">
        <v>352</v>
      </c>
      <c r="H808" s="187"/>
      <c r="I808" s="188"/>
      <c r="J808" s="189">
        <v>243.333333333333</v>
      </c>
    </row>
    <row r="809" spans="1:10">
      <c r="A809" s="185" t="s">
        <v>2132</v>
      </c>
      <c r="B809" s="185" t="s">
        <v>2133</v>
      </c>
      <c r="C809" s="186" t="s">
        <v>180</v>
      </c>
      <c r="D809" s="185">
        <v>0</v>
      </c>
      <c r="E809" s="185"/>
      <c r="F809" s="185">
        <v>2150</v>
      </c>
      <c r="G809" s="185" t="s">
        <v>352</v>
      </c>
      <c r="H809" s="187"/>
      <c r="I809" s="188"/>
      <c r="J809" s="189">
        <v>191.666666666667</v>
      </c>
    </row>
    <row r="810" spans="1:10">
      <c r="A810" s="185" t="s">
        <v>2134</v>
      </c>
      <c r="B810" s="185" t="s">
        <v>2135</v>
      </c>
      <c r="C810" s="186" t="s">
        <v>180</v>
      </c>
      <c r="D810" s="185">
        <v>0</v>
      </c>
      <c r="E810" s="185"/>
      <c r="F810" s="185">
        <v>2150</v>
      </c>
      <c r="G810" s="185" t="s">
        <v>352</v>
      </c>
      <c r="H810" s="187"/>
      <c r="I810" s="188"/>
      <c r="J810" s="189">
        <v>141.666666666667</v>
      </c>
    </row>
    <row r="811" spans="1:10">
      <c r="A811" s="185" t="s">
        <v>2136</v>
      </c>
      <c r="B811" s="185" t="s">
        <v>2137</v>
      </c>
      <c r="C811" s="186" t="s">
        <v>180</v>
      </c>
      <c r="D811" s="185">
        <v>0</v>
      </c>
      <c r="E811" s="185"/>
      <c r="F811" s="185">
        <v>4150</v>
      </c>
      <c r="G811" s="185" t="s">
        <v>357</v>
      </c>
      <c r="H811" s="187"/>
      <c r="I811" s="188"/>
      <c r="J811" s="189">
        <v>112.35555555555599</v>
      </c>
    </row>
    <row r="812" spans="1:10">
      <c r="A812" s="185" t="s">
        <v>2138</v>
      </c>
      <c r="B812" s="185" t="s">
        <v>2139</v>
      </c>
      <c r="C812" s="186" t="s">
        <v>180</v>
      </c>
      <c r="D812" s="185">
        <v>0</v>
      </c>
      <c r="E812" s="185"/>
      <c r="F812" s="185">
        <v>4150</v>
      </c>
      <c r="G812" s="185" t="s">
        <v>347</v>
      </c>
      <c r="H812" s="187"/>
      <c r="I812" s="188"/>
      <c r="J812" s="189">
        <v>11.1</v>
      </c>
    </row>
    <row r="813" spans="1:10">
      <c r="A813" s="185" t="s">
        <v>2140</v>
      </c>
      <c r="B813" s="185" t="s">
        <v>2141</v>
      </c>
      <c r="C813" s="186" t="s">
        <v>180</v>
      </c>
      <c r="D813" s="185">
        <v>0</v>
      </c>
      <c r="E813" s="185"/>
      <c r="F813" s="185">
        <v>4150</v>
      </c>
      <c r="G813" s="185" t="s">
        <v>347</v>
      </c>
      <c r="H813" s="187"/>
      <c r="I813" s="188"/>
      <c r="J813" s="189">
        <v>30.633333333333301</v>
      </c>
    </row>
    <row r="814" spans="1:10">
      <c r="A814" s="185" t="s">
        <v>2142</v>
      </c>
      <c r="B814" s="185" t="s">
        <v>2143</v>
      </c>
      <c r="C814" s="186" t="s">
        <v>180</v>
      </c>
      <c r="D814" s="185">
        <v>0</v>
      </c>
      <c r="E814" s="185"/>
      <c r="F814" s="185">
        <v>4150</v>
      </c>
      <c r="G814" s="185" t="s">
        <v>347</v>
      </c>
      <c r="H814" s="187"/>
      <c r="I814" s="188"/>
      <c r="J814" s="189">
        <v>6.55</v>
      </c>
    </row>
    <row r="815" spans="1:10">
      <c r="A815" s="185" t="s">
        <v>2144</v>
      </c>
      <c r="B815" s="185" t="s">
        <v>1997</v>
      </c>
      <c r="C815" s="186" t="s">
        <v>180</v>
      </c>
      <c r="D815" s="185">
        <v>0</v>
      </c>
      <c r="E815" s="185"/>
      <c r="F815" s="185">
        <v>2150</v>
      </c>
      <c r="G815" s="185" t="s">
        <v>352</v>
      </c>
      <c r="H815" s="187"/>
      <c r="I815" s="188"/>
      <c r="J815" s="189">
        <v>15</v>
      </c>
    </row>
    <row r="816" spans="1:10">
      <c r="A816" s="185" t="s">
        <v>2145</v>
      </c>
      <c r="B816" s="185" t="s">
        <v>2146</v>
      </c>
      <c r="C816" s="186" t="s">
        <v>176</v>
      </c>
      <c r="D816" s="185">
        <v>0</v>
      </c>
      <c r="E816" s="185"/>
      <c r="F816" s="185">
        <v>2100</v>
      </c>
      <c r="G816" s="185" t="s">
        <v>419</v>
      </c>
      <c r="H816" s="187"/>
      <c r="I816" s="188"/>
      <c r="J816" s="189">
        <v>0.3</v>
      </c>
    </row>
    <row r="817" spans="1:10">
      <c r="A817" s="185" t="s">
        <v>2147</v>
      </c>
      <c r="B817" s="185" t="s">
        <v>2148</v>
      </c>
      <c r="C817" s="186" t="s">
        <v>176</v>
      </c>
      <c r="D817" s="185">
        <v>0</v>
      </c>
      <c r="E817" s="185"/>
      <c r="F817" s="185">
        <v>2100</v>
      </c>
      <c r="G817" s="185" t="s">
        <v>419</v>
      </c>
      <c r="H817" s="187"/>
      <c r="I817" s="188"/>
      <c r="J817" s="189">
        <v>0.3</v>
      </c>
    </row>
    <row r="818" spans="1:10">
      <c r="A818" s="185" t="s">
        <v>2149</v>
      </c>
      <c r="B818" s="185" t="s">
        <v>2150</v>
      </c>
      <c r="C818" s="186" t="s">
        <v>180</v>
      </c>
      <c r="D818" s="185">
        <v>0</v>
      </c>
      <c r="E818" s="185"/>
      <c r="F818" s="185">
        <v>2150</v>
      </c>
      <c r="G818" s="185" t="s">
        <v>352</v>
      </c>
      <c r="H818" s="187"/>
      <c r="I818" s="188"/>
      <c r="J818" s="189">
        <v>18.0833333333333</v>
      </c>
    </row>
    <row r="819" spans="1:10">
      <c r="A819" s="185" t="s">
        <v>2151</v>
      </c>
      <c r="B819" s="185" t="s">
        <v>2152</v>
      </c>
      <c r="C819" s="186" t="s">
        <v>180</v>
      </c>
      <c r="D819" s="185">
        <v>0</v>
      </c>
      <c r="E819" s="185"/>
      <c r="F819" s="185">
        <v>2150</v>
      </c>
      <c r="G819" s="185" t="s">
        <v>352</v>
      </c>
      <c r="H819" s="187"/>
      <c r="I819" s="188"/>
      <c r="J819" s="189">
        <v>20.966666666666701</v>
      </c>
    </row>
    <row r="820" spans="1:10">
      <c r="A820" s="185" t="s">
        <v>2049</v>
      </c>
      <c r="B820" s="185" t="s">
        <v>2050</v>
      </c>
      <c r="C820" s="186" t="s">
        <v>180</v>
      </c>
      <c r="D820" s="185">
        <v>0</v>
      </c>
      <c r="E820" s="185"/>
      <c r="F820" s="185">
        <v>4150</v>
      </c>
      <c r="G820" s="185" t="s">
        <v>357</v>
      </c>
      <c r="H820" s="187"/>
      <c r="I820" s="188"/>
      <c r="J820" s="189">
        <v>10.8</v>
      </c>
    </row>
    <row r="821" spans="1:10">
      <c r="A821" s="185" t="s">
        <v>2051</v>
      </c>
      <c r="B821" s="185" t="s">
        <v>2052</v>
      </c>
      <c r="C821" s="186" t="s">
        <v>176</v>
      </c>
      <c r="D821" s="185">
        <v>0</v>
      </c>
      <c r="E821" s="185"/>
      <c r="F821" s="185">
        <v>2100</v>
      </c>
      <c r="G821" s="185" t="s">
        <v>419</v>
      </c>
      <c r="H821" s="187"/>
      <c r="I821" s="188"/>
      <c r="J821" s="189">
        <v>0.3</v>
      </c>
    </row>
    <row r="822" spans="1:10">
      <c r="A822" s="185" t="s">
        <v>2053</v>
      </c>
      <c r="B822" s="185" t="s">
        <v>2054</v>
      </c>
      <c r="C822" s="186" t="s">
        <v>180</v>
      </c>
      <c r="D822" s="185">
        <v>0</v>
      </c>
      <c r="E822" s="185"/>
      <c r="F822" s="185">
        <v>4150</v>
      </c>
      <c r="G822" s="185" t="s">
        <v>374</v>
      </c>
      <c r="H822" s="187"/>
      <c r="I822" s="188"/>
      <c r="J822" s="189">
        <v>24.371428571428599</v>
      </c>
    </row>
    <row r="823" spans="1:10">
      <c r="A823" s="185" t="s">
        <v>2055</v>
      </c>
      <c r="B823" s="185" t="s">
        <v>2056</v>
      </c>
      <c r="C823" s="186" t="s">
        <v>176</v>
      </c>
      <c r="D823" s="185">
        <v>0</v>
      </c>
      <c r="E823" s="185"/>
      <c r="F823" s="185">
        <v>2150</v>
      </c>
      <c r="G823" s="185" t="s">
        <v>357</v>
      </c>
      <c r="H823" s="187"/>
      <c r="I823" s="188"/>
      <c r="J823" s="189">
        <v>0.55000000000000004</v>
      </c>
    </row>
    <row r="824" spans="1:10">
      <c r="A824" s="185" t="s">
        <v>2057</v>
      </c>
      <c r="B824" s="185" t="s">
        <v>902</v>
      </c>
      <c r="C824" s="186" t="s">
        <v>180</v>
      </c>
      <c r="D824" s="185">
        <v>0</v>
      </c>
      <c r="E824" s="185"/>
      <c r="F824" s="185">
        <v>2150</v>
      </c>
      <c r="G824" s="185" t="s">
        <v>352</v>
      </c>
      <c r="H824" s="187"/>
      <c r="I824" s="188"/>
      <c r="J824" s="189">
        <v>110.816666666667</v>
      </c>
    </row>
    <row r="825" spans="1:10">
      <c r="A825" s="185" t="s">
        <v>2058</v>
      </c>
      <c r="B825" s="185" t="s">
        <v>904</v>
      </c>
      <c r="C825" s="186" t="s">
        <v>180</v>
      </c>
      <c r="D825" s="185">
        <v>0</v>
      </c>
      <c r="E825" s="185"/>
      <c r="F825" s="185">
        <v>2150</v>
      </c>
      <c r="G825" s="185" t="s">
        <v>352</v>
      </c>
      <c r="H825" s="187"/>
      <c r="I825" s="188"/>
      <c r="J825" s="189">
        <v>132.75</v>
      </c>
    </row>
    <row r="826" spans="1:10">
      <c r="A826" s="185" t="s">
        <v>2059</v>
      </c>
      <c r="B826" s="185" t="s">
        <v>2060</v>
      </c>
      <c r="C826" s="186" t="s">
        <v>180</v>
      </c>
      <c r="D826" s="185">
        <v>0</v>
      </c>
      <c r="E826" s="185"/>
      <c r="F826" s="185">
        <v>2150</v>
      </c>
      <c r="G826" s="185" t="s">
        <v>352</v>
      </c>
      <c r="H826" s="187"/>
      <c r="I826" s="188"/>
      <c r="J826" s="189">
        <v>166.666666666667</v>
      </c>
    </row>
    <row r="827" spans="1:10">
      <c r="A827" s="185" t="s">
        <v>2183</v>
      </c>
      <c r="B827" s="185" t="s">
        <v>2184</v>
      </c>
      <c r="C827" s="186" t="s">
        <v>180</v>
      </c>
      <c r="D827" s="185">
        <v>0</v>
      </c>
      <c r="E827" s="185"/>
      <c r="F827" s="185">
        <v>2150</v>
      </c>
      <c r="G827" s="185" t="s">
        <v>419</v>
      </c>
      <c r="H827" s="187"/>
      <c r="I827" s="188"/>
      <c r="J827" s="189">
        <v>99.999999999999901</v>
      </c>
    </row>
    <row r="828" spans="1:10">
      <c r="A828" s="185" t="s">
        <v>2153</v>
      </c>
      <c r="B828" s="185" t="s">
        <v>2154</v>
      </c>
      <c r="C828" s="186" t="s">
        <v>180</v>
      </c>
      <c r="D828" s="185">
        <v>0</v>
      </c>
      <c r="E828" s="185"/>
      <c r="F828" s="185">
        <v>4150</v>
      </c>
      <c r="G828" s="185" t="s">
        <v>357</v>
      </c>
      <c r="H828" s="187"/>
      <c r="I828" s="188"/>
      <c r="J828" s="189">
        <v>1.55555555555556</v>
      </c>
    </row>
    <row r="829" spans="1:10">
      <c r="A829" s="185" t="s">
        <v>2155</v>
      </c>
      <c r="B829" s="185" t="s">
        <v>2156</v>
      </c>
      <c r="C829" s="186" t="s">
        <v>176</v>
      </c>
      <c r="D829" s="185">
        <v>0</v>
      </c>
      <c r="E829" s="185"/>
      <c r="F829" s="185">
        <v>2100</v>
      </c>
      <c r="G829" s="185" t="s">
        <v>419</v>
      </c>
      <c r="H829" s="187"/>
      <c r="I829" s="188"/>
      <c r="J829" s="189">
        <v>0.3</v>
      </c>
    </row>
    <row r="830" spans="1:10">
      <c r="A830" s="185" t="s">
        <v>2157</v>
      </c>
      <c r="B830" s="185" t="s">
        <v>2158</v>
      </c>
      <c r="C830" s="186" t="s">
        <v>180</v>
      </c>
      <c r="D830" s="185">
        <v>0</v>
      </c>
      <c r="E830" s="185"/>
      <c r="F830" s="185">
        <v>2150</v>
      </c>
      <c r="G830" s="185" t="s">
        <v>352</v>
      </c>
      <c r="H830" s="187"/>
      <c r="I830" s="188"/>
      <c r="J830" s="189">
        <v>20</v>
      </c>
    </row>
    <row r="831" spans="1:10">
      <c r="A831" s="185" t="s">
        <v>2159</v>
      </c>
      <c r="B831" s="185" t="s">
        <v>2160</v>
      </c>
      <c r="C831" s="186" t="s">
        <v>180</v>
      </c>
      <c r="D831" s="185">
        <v>0</v>
      </c>
      <c r="E831" s="185"/>
      <c r="F831" s="185">
        <v>2150</v>
      </c>
      <c r="G831" s="185" t="s">
        <v>352</v>
      </c>
      <c r="H831" s="187"/>
      <c r="I831" s="188"/>
      <c r="J831" s="189">
        <v>20.8333333333333</v>
      </c>
    </row>
    <row r="832" spans="1:10">
      <c r="A832" s="185" t="s">
        <v>2161</v>
      </c>
      <c r="B832" s="185" t="s">
        <v>2162</v>
      </c>
      <c r="C832" s="186" t="s">
        <v>180</v>
      </c>
      <c r="D832" s="185">
        <v>0</v>
      </c>
      <c r="E832" s="185"/>
      <c r="F832" s="185">
        <v>2150</v>
      </c>
      <c r="G832" s="185" t="s">
        <v>352</v>
      </c>
      <c r="H832" s="187"/>
      <c r="I832" s="188"/>
      <c r="J832" s="189">
        <v>16.6666666666667</v>
      </c>
    </row>
    <row r="833" spans="1:10">
      <c r="A833" s="185" t="s">
        <v>2163</v>
      </c>
      <c r="B833" s="185" t="s">
        <v>2164</v>
      </c>
      <c r="C833" s="186" t="s">
        <v>180</v>
      </c>
      <c r="D833" s="185">
        <v>0</v>
      </c>
      <c r="E833" s="185"/>
      <c r="F833" s="185">
        <v>2150</v>
      </c>
      <c r="G833" s="185" t="s">
        <v>352</v>
      </c>
      <c r="H833" s="187"/>
      <c r="I833" s="188"/>
      <c r="J833" s="189">
        <v>14.1666666666667</v>
      </c>
    </row>
    <row r="834" spans="1:10">
      <c r="A834" s="185" t="s">
        <v>2165</v>
      </c>
      <c r="B834" s="185" t="s">
        <v>2166</v>
      </c>
      <c r="C834" s="186" t="s">
        <v>180</v>
      </c>
      <c r="D834" s="185" t="s">
        <v>360</v>
      </c>
      <c r="E834" s="185"/>
      <c r="F834" s="185">
        <v>2150</v>
      </c>
      <c r="G834" s="185" t="s">
        <v>352</v>
      </c>
      <c r="H834" s="187"/>
      <c r="I834" s="188"/>
      <c r="J834" s="189">
        <v>16.6666666666667</v>
      </c>
    </row>
    <row r="835" spans="1:10">
      <c r="A835" s="185" t="s">
        <v>2167</v>
      </c>
      <c r="B835" s="185" t="s">
        <v>2168</v>
      </c>
      <c r="C835" s="186" t="s">
        <v>180</v>
      </c>
      <c r="D835" s="185" t="s">
        <v>360</v>
      </c>
      <c r="E835" s="185"/>
      <c r="F835" s="185">
        <v>2150</v>
      </c>
      <c r="G835" s="185" t="s">
        <v>352</v>
      </c>
      <c r="H835" s="187"/>
      <c r="I835" s="188"/>
      <c r="J835" s="189">
        <v>10</v>
      </c>
    </row>
    <row r="836" spans="1:10">
      <c r="A836" s="185" t="s">
        <v>2169</v>
      </c>
      <c r="B836" s="185" t="s">
        <v>2170</v>
      </c>
      <c r="C836" s="186" t="s">
        <v>180</v>
      </c>
      <c r="D836" s="185">
        <v>0</v>
      </c>
      <c r="E836" s="185"/>
      <c r="F836" s="185">
        <v>2150</v>
      </c>
      <c r="G836" s="185" t="s">
        <v>347</v>
      </c>
      <c r="H836" s="187"/>
      <c r="I836" s="188"/>
      <c r="J836" s="189">
        <v>2.7666666666666702</v>
      </c>
    </row>
    <row r="837" spans="1:10">
      <c r="A837" s="185" t="s">
        <v>2171</v>
      </c>
      <c r="B837" s="185" t="s">
        <v>2172</v>
      </c>
      <c r="C837" s="186" t="s">
        <v>180</v>
      </c>
      <c r="D837" s="185">
        <v>0</v>
      </c>
      <c r="E837" s="185"/>
      <c r="F837" s="185">
        <v>2150</v>
      </c>
      <c r="G837" s="185" t="s">
        <v>347</v>
      </c>
      <c r="H837" s="187"/>
      <c r="I837" s="188"/>
      <c r="J837" s="189">
        <v>0.30833333333333302</v>
      </c>
    </row>
    <row r="838" spans="1:10">
      <c r="A838" s="185" t="s">
        <v>2173</v>
      </c>
      <c r="B838" s="185" t="s">
        <v>2174</v>
      </c>
      <c r="C838" s="186" t="s">
        <v>180</v>
      </c>
      <c r="D838" s="185">
        <v>0</v>
      </c>
      <c r="E838" s="185"/>
      <c r="F838" s="185">
        <v>2150</v>
      </c>
      <c r="G838" s="185" t="s">
        <v>347</v>
      </c>
      <c r="H838" s="187"/>
      <c r="I838" s="188"/>
      <c r="J838" s="189">
        <v>0.5</v>
      </c>
    </row>
    <row r="839" spans="1:10">
      <c r="A839" s="185" t="s">
        <v>2175</v>
      </c>
      <c r="B839" s="185" t="s">
        <v>2176</v>
      </c>
      <c r="C839" s="186" t="s">
        <v>180</v>
      </c>
      <c r="D839" s="185" t="s">
        <v>360</v>
      </c>
      <c r="E839" s="185"/>
      <c r="F839" s="185">
        <v>2150</v>
      </c>
      <c r="G839" s="185" t="s">
        <v>352</v>
      </c>
      <c r="H839" s="187"/>
      <c r="I839" s="188"/>
      <c r="J839" s="189">
        <v>13.3333333333333</v>
      </c>
    </row>
    <row r="840" spans="1:10">
      <c r="A840" s="185" t="s">
        <v>2177</v>
      </c>
      <c r="B840" s="185" t="s">
        <v>2178</v>
      </c>
      <c r="C840" s="186" t="s">
        <v>180</v>
      </c>
      <c r="D840" s="185" t="s">
        <v>360</v>
      </c>
      <c r="E840" s="185"/>
      <c r="F840" s="185">
        <v>2150</v>
      </c>
      <c r="G840" s="185" t="s">
        <v>352</v>
      </c>
      <c r="H840" s="187"/>
      <c r="I840" s="188"/>
      <c r="J840" s="189">
        <v>9.1666666666666696</v>
      </c>
    </row>
    <row r="841" spans="1:10">
      <c r="A841" s="185" t="s">
        <v>2179</v>
      </c>
      <c r="B841" s="185" t="s">
        <v>2180</v>
      </c>
      <c r="C841" s="186" t="s">
        <v>180</v>
      </c>
      <c r="D841" s="185">
        <v>0</v>
      </c>
      <c r="E841" s="185"/>
      <c r="F841" s="185">
        <v>2150</v>
      </c>
      <c r="G841" s="185" t="s">
        <v>357</v>
      </c>
      <c r="H841" s="187"/>
      <c r="I841" s="188"/>
      <c r="J841" s="189">
        <v>10.466666666666701</v>
      </c>
    </row>
    <row r="842" spans="1:10">
      <c r="A842" s="185" t="s">
        <v>2185</v>
      </c>
      <c r="B842" s="185" t="s">
        <v>2186</v>
      </c>
      <c r="C842" s="186" t="s">
        <v>180</v>
      </c>
      <c r="D842" s="185">
        <v>0</v>
      </c>
      <c r="E842" s="185"/>
      <c r="F842" s="185">
        <v>2150</v>
      </c>
      <c r="G842" s="185" t="s">
        <v>374</v>
      </c>
      <c r="H842" s="187"/>
      <c r="I842" s="188"/>
      <c r="J842" s="189">
        <v>0.38571428571428601</v>
      </c>
    </row>
    <row r="843" spans="1:10">
      <c r="A843" s="185" t="s">
        <v>2187</v>
      </c>
      <c r="B843" s="185" t="s">
        <v>2188</v>
      </c>
      <c r="C843" s="186" t="s">
        <v>180</v>
      </c>
      <c r="D843" s="185">
        <v>0</v>
      </c>
      <c r="E843" s="185"/>
      <c r="F843" s="185">
        <v>2150</v>
      </c>
      <c r="G843" s="185" t="s">
        <v>374</v>
      </c>
      <c r="H843" s="187"/>
      <c r="I843" s="188"/>
      <c r="J843" s="189">
        <v>0.6</v>
      </c>
    </row>
    <row r="844" spans="1:10">
      <c r="A844" s="185" t="s">
        <v>2189</v>
      </c>
      <c r="B844" s="185" t="s">
        <v>2190</v>
      </c>
      <c r="C844" s="186" t="s">
        <v>180</v>
      </c>
      <c r="D844" s="185">
        <v>0</v>
      </c>
      <c r="E844" s="185"/>
      <c r="F844" s="185">
        <v>2150</v>
      </c>
      <c r="G844" s="185" t="s">
        <v>374</v>
      </c>
      <c r="H844" s="187"/>
      <c r="I844" s="188"/>
      <c r="J844" s="189">
        <v>0.48571428571428599</v>
      </c>
    </row>
    <row r="845" spans="1:10">
      <c r="A845" s="185" t="s">
        <v>2197</v>
      </c>
      <c r="B845" s="185" t="s">
        <v>2198</v>
      </c>
      <c r="C845" s="186" t="s">
        <v>176</v>
      </c>
      <c r="D845" s="185">
        <v>0</v>
      </c>
      <c r="E845" s="185"/>
      <c r="F845" s="185">
        <v>2100</v>
      </c>
      <c r="G845" s="185" t="s">
        <v>419</v>
      </c>
      <c r="H845" s="187"/>
      <c r="I845" s="188"/>
      <c r="J845" s="189">
        <v>0.3</v>
      </c>
    </row>
    <row r="846" spans="1:10">
      <c r="A846" s="185" t="s">
        <v>2199</v>
      </c>
      <c r="B846" s="185" t="s">
        <v>2200</v>
      </c>
      <c r="C846" s="186" t="s">
        <v>176</v>
      </c>
      <c r="D846" s="185">
        <v>0</v>
      </c>
      <c r="E846" s="185"/>
      <c r="F846" s="185">
        <v>2100</v>
      </c>
      <c r="G846" s="185" t="s">
        <v>419</v>
      </c>
      <c r="H846" s="187"/>
      <c r="I846" s="188"/>
      <c r="J846" s="189">
        <v>0.3</v>
      </c>
    </row>
    <row r="847" spans="1:10">
      <c r="A847" s="185" t="s">
        <v>2201</v>
      </c>
      <c r="B847" s="185" t="s">
        <v>2202</v>
      </c>
      <c r="C847" s="186" t="s">
        <v>176</v>
      </c>
      <c r="D847" s="185">
        <v>0</v>
      </c>
      <c r="E847" s="185"/>
      <c r="F847" s="185">
        <v>2100</v>
      </c>
      <c r="G847" s="185" t="s">
        <v>419</v>
      </c>
      <c r="H847" s="187"/>
      <c r="I847" s="188"/>
      <c r="J847" s="189">
        <v>0.3</v>
      </c>
    </row>
    <row r="848" spans="1:10">
      <c r="A848" s="185" t="s">
        <v>2203</v>
      </c>
      <c r="B848" s="185" t="s">
        <v>2204</v>
      </c>
      <c r="C848" s="186" t="s">
        <v>176</v>
      </c>
      <c r="D848" s="185">
        <v>0</v>
      </c>
      <c r="E848" s="185"/>
      <c r="F848" s="185">
        <v>2100</v>
      </c>
      <c r="G848" s="185" t="s">
        <v>419</v>
      </c>
      <c r="H848" s="187"/>
      <c r="I848" s="188"/>
      <c r="J848" s="189">
        <v>0.3</v>
      </c>
    </row>
    <row r="849" spans="1:10">
      <c r="A849" s="185" t="s">
        <v>2205</v>
      </c>
      <c r="B849" s="185" t="s">
        <v>2206</v>
      </c>
      <c r="C849" s="186" t="s">
        <v>176</v>
      </c>
      <c r="D849" s="185">
        <v>0</v>
      </c>
      <c r="E849" s="185"/>
      <c r="F849" s="185">
        <v>2100</v>
      </c>
      <c r="G849" s="185" t="s">
        <v>419</v>
      </c>
      <c r="H849" s="187"/>
      <c r="I849" s="188"/>
      <c r="J849" s="189">
        <v>0.3</v>
      </c>
    </row>
  </sheetData>
  <mergeCells count="1">
    <mergeCell ref="A1:J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0000"/>
  </sheetPr>
  <dimension ref="A1:C15"/>
  <sheetViews>
    <sheetView workbookViewId="0">
      <selection sqref="A1:C1"/>
    </sheetView>
  </sheetViews>
  <sheetFormatPr defaultRowHeight="14.5"/>
  <cols>
    <col min="1" max="1" width="25.7265625" customWidth="1"/>
    <col min="2" max="2" width="12.7265625" customWidth="1"/>
    <col min="3" max="3" width="30.7265625" customWidth="1"/>
  </cols>
  <sheetData>
    <row r="1" spans="1:3" ht="23.5">
      <c r="A1" s="226" t="s">
        <v>288</v>
      </c>
      <c r="B1" s="227"/>
      <c r="C1" s="227"/>
    </row>
    <row r="2" spans="1:3">
      <c r="A2" s="127" t="s">
        <v>264</v>
      </c>
      <c r="B2" s="128" t="s">
        <v>262</v>
      </c>
      <c r="C2" s="129" t="s">
        <v>289</v>
      </c>
    </row>
    <row r="3" spans="1:3">
      <c r="A3" s="194"/>
      <c r="B3" s="195"/>
      <c r="C3" s="78"/>
    </row>
    <row r="4" spans="1:3">
      <c r="A4" s="194"/>
      <c r="B4" s="195"/>
      <c r="C4" s="78"/>
    </row>
    <row r="5" spans="1:3">
      <c r="A5" s="194"/>
      <c r="B5" s="195"/>
      <c r="C5" s="78"/>
    </row>
    <row r="6" spans="1:3">
      <c r="A6" s="194"/>
      <c r="B6" s="195"/>
      <c r="C6" s="78"/>
    </row>
    <row r="7" spans="1:3">
      <c r="A7" s="194"/>
      <c r="B7" s="195"/>
      <c r="C7" s="78"/>
    </row>
    <row r="8" spans="1:3">
      <c r="A8" s="194"/>
      <c r="B8" s="195"/>
      <c r="C8" s="78"/>
    </row>
    <row r="9" spans="1:3">
      <c r="A9" s="194"/>
      <c r="B9" s="195"/>
      <c r="C9" s="78"/>
    </row>
    <row r="10" spans="1:3">
      <c r="A10" s="194"/>
      <c r="B10" s="195"/>
      <c r="C10" s="78"/>
    </row>
    <row r="11" spans="1:3">
      <c r="A11" s="194"/>
      <c r="B11" s="195"/>
      <c r="C11" s="78"/>
    </row>
    <row r="12" spans="1:3">
      <c r="A12" s="194"/>
      <c r="B12" s="195"/>
      <c r="C12" s="78"/>
    </row>
    <row r="13" spans="1:3">
      <c r="A13" s="194"/>
      <c r="B13" s="195"/>
      <c r="C13" s="78"/>
    </row>
    <row r="14" spans="1:3">
      <c r="A14" s="194"/>
      <c r="B14" s="195"/>
      <c r="C14" s="78"/>
    </row>
    <row r="15" spans="1:3">
      <c r="A15" s="194"/>
      <c r="B15" s="195"/>
      <c r="C15" s="78"/>
    </row>
  </sheetData>
  <mergeCells count="1">
    <mergeCell ref="A1:C1"/>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0000"/>
  </sheetPr>
  <dimension ref="A1:E145"/>
  <sheetViews>
    <sheetView workbookViewId="0">
      <selection sqref="A1:B1"/>
    </sheetView>
  </sheetViews>
  <sheetFormatPr defaultRowHeight="14.5"/>
  <cols>
    <col min="1" max="1" width="18" bestFit="1" customWidth="1"/>
    <col min="2" max="2" width="15.453125" bestFit="1" customWidth="1"/>
    <col min="8" max="8" width="11.54296875" bestFit="1" customWidth="1"/>
  </cols>
  <sheetData>
    <row r="1" spans="1:2" ht="23.5">
      <c r="A1" s="230" t="s">
        <v>211</v>
      </c>
      <c r="B1" s="231"/>
    </row>
    <row r="2" spans="1:2">
      <c r="A2" s="98" t="s">
        <v>1857</v>
      </c>
      <c r="B2" s="98" t="s">
        <v>286</v>
      </c>
    </row>
    <row r="3" spans="1:2">
      <c r="A3" s="98" t="s">
        <v>1472</v>
      </c>
      <c r="B3" s="190">
        <v>8.06</v>
      </c>
    </row>
    <row r="4" spans="1:2">
      <c r="A4" s="98" t="s">
        <v>1473</v>
      </c>
      <c r="B4" s="190">
        <v>11.83</v>
      </c>
    </row>
    <row r="5" spans="1:2">
      <c r="A5" s="98" t="s">
        <v>1474</v>
      </c>
      <c r="B5" s="190">
        <v>15.61</v>
      </c>
    </row>
    <row r="6" spans="1:2">
      <c r="A6" s="98" t="s">
        <v>1475</v>
      </c>
      <c r="B6" s="190">
        <v>19.38</v>
      </c>
    </row>
    <row r="7" spans="1:2">
      <c r="A7" s="98" t="s">
        <v>1476</v>
      </c>
      <c r="B7" s="190">
        <v>23.15</v>
      </c>
    </row>
    <row r="8" spans="1:2">
      <c r="A8" s="98" t="s">
        <v>1477</v>
      </c>
      <c r="B8" s="190">
        <v>24.36</v>
      </c>
    </row>
    <row r="9" spans="1:2">
      <c r="A9" s="98" t="s">
        <v>1478</v>
      </c>
      <c r="B9" s="190">
        <v>25.69</v>
      </c>
    </row>
    <row r="10" spans="1:2">
      <c r="A10" s="98" t="s">
        <v>145</v>
      </c>
      <c r="B10" s="190">
        <v>30.14</v>
      </c>
    </row>
    <row r="11" spans="1:2">
      <c r="A11" s="98" t="s">
        <v>1479</v>
      </c>
      <c r="B11" s="190">
        <v>37.25</v>
      </c>
    </row>
    <row r="12" spans="1:2">
      <c r="A12" s="98" t="s">
        <v>1749</v>
      </c>
      <c r="B12" s="190">
        <v>62.62</v>
      </c>
    </row>
    <row r="13" spans="1:2">
      <c r="A13" s="98" t="s">
        <v>1480</v>
      </c>
      <c r="B13" s="190">
        <v>8.41</v>
      </c>
    </row>
    <row r="14" spans="1:2">
      <c r="A14" s="98" t="s">
        <v>1481</v>
      </c>
      <c r="B14" s="190">
        <v>12.61</v>
      </c>
    </row>
    <row r="15" spans="1:2">
      <c r="A15" s="98" t="s">
        <v>1482</v>
      </c>
      <c r="B15" s="190">
        <v>38.729999999999997</v>
      </c>
    </row>
    <row r="16" spans="1:2">
      <c r="A16" s="98" t="s">
        <v>1524</v>
      </c>
      <c r="B16" s="190">
        <v>9.6300000000000008</v>
      </c>
    </row>
    <row r="17" spans="1:2">
      <c r="A17" s="98" t="s">
        <v>1750</v>
      </c>
      <c r="B17" s="190">
        <v>21.29</v>
      </c>
    </row>
    <row r="18" spans="1:2">
      <c r="A18" s="98" t="s">
        <v>1483</v>
      </c>
      <c r="B18" s="190">
        <v>3.14</v>
      </c>
    </row>
    <row r="19" spans="1:2">
      <c r="A19" s="98" t="s">
        <v>1484</v>
      </c>
      <c r="B19" s="190">
        <v>3.21</v>
      </c>
    </row>
    <row r="20" spans="1:2">
      <c r="A20" s="98" t="s">
        <v>406</v>
      </c>
      <c r="B20" s="190">
        <v>9.6299999999999997E-3</v>
      </c>
    </row>
    <row r="21" spans="1:2">
      <c r="A21" s="98" t="s">
        <v>409</v>
      </c>
      <c r="B21" s="190">
        <v>1.235E-2</v>
      </c>
    </row>
    <row r="22" spans="1:2">
      <c r="A22" s="98" t="s">
        <v>411</v>
      </c>
      <c r="B22" s="190">
        <v>1.5679999999999999E-2</v>
      </c>
    </row>
    <row r="23" spans="1:2">
      <c r="A23" s="98" t="s">
        <v>1451</v>
      </c>
      <c r="B23" s="190">
        <v>9.6299999999999997E-3</v>
      </c>
    </row>
    <row r="24" spans="1:2">
      <c r="A24" s="98" t="s">
        <v>1453</v>
      </c>
      <c r="B24" s="190">
        <v>1.0699999999999999E-2</v>
      </c>
    </row>
    <row r="25" spans="1:2">
      <c r="A25" s="98" t="s">
        <v>1455</v>
      </c>
      <c r="B25" s="190">
        <v>1.1769999999999999E-2</v>
      </c>
    </row>
    <row r="26" spans="1:2">
      <c r="A26" s="98" t="s">
        <v>529</v>
      </c>
      <c r="B26" s="190">
        <v>1.40298E-2</v>
      </c>
    </row>
    <row r="27" spans="1:2">
      <c r="A27" s="98" t="s">
        <v>531</v>
      </c>
      <c r="B27" s="190">
        <v>6.1088000000000003E-2</v>
      </c>
    </row>
    <row r="28" spans="1:2">
      <c r="A28" s="98" t="s">
        <v>539</v>
      </c>
      <c r="B28" s="190">
        <v>7.7650000000000002E-3</v>
      </c>
    </row>
    <row r="29" spans="1:2">
      <c r="A29" s="98" t="s">
        <v>1425</v>
      </c>
      <c r="B29" s="190">
        <v>2.3165000000000002E-2</v>
      </c>
    </row>
    <row r="30" spans="1:2">
      <c r="A30" s="98" t="s">
        <v>1417</v>
      </c>
      <c r="B30" s="190">
        <v>1.7675E-2</v>
      </c>
    </row>
    <row r="31" spans="1:2">
      <c r="A31" s="98" t="s">
        <v>533</v>
      </c>
      <c r="B31" s="190">
        <v>1.7229000000000001E-2</v>
      </c>
    </row>
    <row r="32" spans="1:2">
      <c r="A32" s="98" t="s">
        <v>363</v>
      </c>
      <c r="B32" s="190">
        <v>1.8669999999999999E-2</v>
      </c>
    </row>
    <row r="33" spans="1:2">
      <c r="A33" s="98" t="s">
        <v>367</v>
      </c>
      <c r="B33" s="190">
        <v>3.8615485564304501E-3</v>
      </c>
    </row>
    <row r="34" spans="1:2">
      <c r="A34" s="98" t="s">
        <v>370</v>
      </c>
      <c r="B34" s="190">
        <v>6.7419999999999997E-3</v>
      </c>
    </row>
    <row r="35" spans="1:2">
      <c r="A35" s="98" t="s">
        <v>612</v>
      </c>
      <c r="B35" s="190">
        <v>4.3274278215223103E-2</v>
      </c>
    </row>
    <row r="36" spans="1:2">
      <c r="A36" s="98" t="s">
        <v>1736</v>
      </c>
      <c r="B36" s="190">
        <v>2.9191999999999999E-2</v>
      </c>
    </row>
    <row r="37" spans="1:2">
      <c r="A37" s="98" t="s">
        <v>1084</v>
      </c>
      <c r="B37" s="190">
        <v>2.8833000000000001E-2</v>
      </c>
    </row>
    <row r="38" spans="1:2">
      <c r="A38" s="98" t="s">
        <v>1086</v>
      </c>
      <c r="B38" s="190">
        <v>7.2919999999999999E-3</v>
      </c>
    </row>
    <row r="39" spans="1:2">
      <c r="A39" s="98" t="s">
        <v>993</v>
      </c>
      <c r="B39" s="190">
        <v>1</v>
      </c>
    </row>
    <row r="40" spans="1:2">
      <c r="A40" s="98" t="s">
        <v>1457</v>
      </c>
      <c r="B40" s="190">
        <v>1</v>
      </c>
    </row>
    <row r="41" spans="1:2">
      <c r="A41" s="98" t="s">
        <v>773</v>
      </c>
      <c r="B41" s="190">
        <v>0.25</v>
      </c>
    </row>
    <row r="42" spans="1:2">
      <c r="A42" s="98" t="s">
        <v>666</v>
      </c>
      <c r="B42" s="190">
        <v>0.01</v>
      </c>
    </row>
    <row r="43" spans="1:2">
      <c r="A43" s="98" t="s">
        <v>1733</v>
      </c>
      <c r="B43" s="190">
        <v>3.1291010498687702E-3</v>
      </c>
    </row>
    <row r="44" spans="1:2">
      <c r="A44" s="98" t="s">
        <v>1974</v>
      </c>
      <c r="B44" s="190">
        <v>3.6250999999999999E-2</v>
      </c>
    </row>
    <row r="45" spans="1:2">
      <c r="A45" s="98" t="s">
        <v>1976</v>
      </c>
      <c r="B45" s="190">
        <v>3.3999999999999998E-3</v>
      </c>
    </row>
    <row r="46" spans="1:2">
      <c r="A46" s="98" t="s">
        <v>1978</v>
      </c>
      <c r="B46" s="190">
        <v>2.3999999999999998E-3</v>
      </c>
    </row>
    <row r="47" spans="1:2">
      <c r="A47" s="98" t="s">
        <v>1982</v>
      </c>
      <c r="B47" s="190">
        <v>8.4645999999999999E-2</v>
      </c>
    </row>
    <row r="48" spans="1:2">
      <c r="A48" s="98" t="s">
        <v>1986</v>
      </c>
      <c r="B48" s="190">
        <v>1.52E-2</v>
      </c>
    </row>
    <row r="49" spans="1:2">
      <c r="A49" s="98" t="s">
        <v>2033</v>
      </c>
      <c r="B49" s="190">
        <v>2.1999999999999999E-2</v>
      </c>
    </row>
    <row r="50" spans="1:2">
      <c r="A50" s="98" t="s">
        <v>2041</v>
      </c>
      <c r="B50" s="190">
        <v>1.2219869999999999</v>
      </c>
    </row>
    <row r="51" spans="1:2">
      <c r="A51" s="98" t="s">
        <v>2047</v>
      </c>
      <c r="B51" s="190">
        <v>1.3211174999999999</v>
      </c>
    </row>
    <row r="52" spans="1:2">
      <c r="A52" s="98" t="s">
        <v>2055</v>
      </c>
      <c r="B52" s="190">
        <v>1.542E-3</v>
      </c>
    </row>
    <row r="145" spans="5:5">
      <c r="E145" s="25"/>
    </row>
  </sheetData>
  <mergeCells count="1">
    <mergeCell ref="A1:B1"/>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FF0000"/>
  </sheetPr>
  <dimension ref="A1:C9"/>
  <sheetViews>
    <sheetView workbookViewId="0">
      <selection activeCell="H27" sqref="H27"/>
    </sheetView>
  </sheetViews>
  <sheetFormatPr defaultRowHeight="14.5"/>
  <cols>
    <col min="1" max="1" width="10.81640625" bestFit="1" customWidth="1"/>
    <col min="2" max="2" width="15.453125" bestFit="1" customWidth="1"/>
    <col min="3" max="3" width="25.7265625" customWidth="1"/>
  </cols>
  <sheetData>
    <row r="1" spans="1:3" ht="23.5">
      <c r="A1" s="232" t="s">
        <v>213</v>
      </c>
      <c r="B1" s="233"/>
      <c r="C1" s="234"/>
    </row>
    <row r="2" spans="1:3">
      <c r="A2" s="132" t="s">
        <v>266</v>
      </c>
      <c r="B2" s="133" t="s">
        <v>286</v>
      </c>
      <c r="C2" s="131" t="s">
        <v>25</v>
      </c>
    </row>
    <row r="3" spans="1:3">
      <c r="A3" s="191" t="s">
        <v>968</v>
      </c>
      <c r="B3" s="192">
        <v>0</v>
      </c>
      <c r="C3" s="193" t="s">
        <v>1485</v>
      </c>
    </row>
    <row r="4" spans="1:3">
      <c r="A4" s="191" t="s">
        <v>336</v>
      </c>
      <c r="B4" s="192">
        <v>10</v>
      </c>
      <c r="C4" s="193" t="s">
        <v>1486</v>
      </c>
    </row>
    <row r="5" spans="1:3">
      <c r="A5" s="191" t="s">
        <v>1487</v>
      </c>
      <c r="B5" s="192">
        <v>10</v>
      </c>
      <c r="C5" s="193" t="s">
        <v>1488</v>
      </c>
    </row>
    <row r="6" spans="1:3">
      <c r="A6" s="191" t="s">
        <v>1489</v>
      </c>
      <c r="B6" s="192">
        <v>20</v>
      </c>
      <c r="C6" s="193" t="s">
        <v>1490</v>
      </c>
    </row>
    <row r="7" spans="1:3">
      <c r="A7" s="191" t="s">
        <v>1491</v>
      </c>
      <c r="B7" s="192">
        <v>30</v>
      </c>
      <c r="C7" s="193" t="s">
        <v>1492</v>
      </c>
    </row>
    <row r="8" spans="1:3">
      <c r="A8" s="191" t="s">
        <v>1493</v>
      </c>
      <c r="B8" s="192">
        <v>25</v>
      </c>
      <c r="C8" s="193" t="s">
        <v>1494</v>
      </c>
    </row>
    <row r="9" spans="1:3">
      <c r="A9" s="191" t="s">
        <v>1495</v>
      </c>
      <c r="B9" s="192">
        <v>45</v>
      </c>
      <c r="C9" s="193" t="s">
        <v>1496</v>
      </c>
    </row>
  </sheetData>
  <mergeCells count="1">
    <mergeCell ref="A1:C1"/>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FF0000"/>
  </sheetPr>
  <dimension ref="A1:B9"/>
  <sheetViews>
    <sheetView workbookViewId="0">
      <selection activeCell="B13" sqref="B13"/>
    </sheetView>
  </sheetViews>
  <sheetFormatPr defaultRowHeight="14.5"/>
  <cols>
    <col min="1" max="1" width="15.7265625" customWidth="1"/>
    <col min="2" max="2" width="40.7265625" customWidth="1"/>
  </cols>
  <sheetData>
    <row r="1" spans="1:2" ht="23.5">
      <c r="A1" s="230" t="s">
        <v>287</v>
      </c>
      <c r="B1" s="231"/>
    </row>
    <row r="2" spans="1:2">
      <c r="A2" s="127" t="s">
        <v>284</v>
      </c>
      <c r="B2" s="129" t="s">
        <v>25</v>
      </c>
    </row>
    <row r="3" spans="1:2">
      <c r="A3" s="196" t="s">
        <v>180</v>
      </c>
      <c r="B3" s="197" t="s">
        <v>179</v>
      </c>
    </row>
    <row r="4" spans="1:2">
      <c r="A4" s="196" t="s">
        <v>178</v>
      </c>
      <c r="B4" s="197" t="s">
        <v>177</v>
      </c>
    </row>
    <row r="5" spans="1:2">
      <c r="A5" s="196" t="s">
        <v>176</v>
      </c>
      <c r="B5" s="197" t="s">
        <v>175</v>
      </c>
    </row>
    <row r="6" spans="1:2">
      <c r="A6" s="196" t="s">
        <v>174</v>
      </c>
      <c r="B6" s="197" t="s">
        <v>173</v>
      </c>
    </row>
    <row r="7" spans="1:2">
      <c r="A7" s="196" t="s">
        <v>143</v>
      </c>
      <c r="B7" s="197" t="s">
        <v>172</v>
      </c>
    </row>
    <row r="8" spans="1:2">
      <c r="A8" s="196" t="s">
        <v>142</v>
      </c>
      <c r="B8" s="197" t="s">
        <v>171</v>
      </c>
    </row>
    <row r="9" spans="1:2">
      <c r="A9" s="196" t="s">
        <v>141</v>
      </c>
      <c r="B9" s="197" t="s">
        <v>170</v>
      </c>
    </row>
  </sheetData>
  <mergeCells count="1">
    <mergeCell ref="A1:B1"/>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0000"/>
  </sheetPr>
  <dimension ref="A1:I58"/>
  <sheetViews>
    <sheetView topLeftCell="A27" workbookViewId="0">
      <selection activeCell="B35" sqref="B35"/>
    </sheetView>
  </sheetViews>
  <sheetFormatPr defaultColWidth="9.1796875" defaultRowHeight="14.5"/>
  <cols>
    <col min="1" max="1" width="33.54296875" customWidth="1"/>
    <col min="2" max="2" width="74.453125" customWidth="1"/>
    <col min="3" max="3" width="96" customWidth="1"/>
    <col min="4" max="4" width="13.453125" customWidth="1"/>
    <col min="5" max="5" width="12.453125" style="25" customWidth="1"/>
    <col min="7" max="7" width="10" customWidth="1"/>
  </cols>
  <sheetData>
    <row r="1" spans="1:9" ht="21">
      <c r="A1" s="235" t="s">
        <v>101</v>
      </c>
      <c r="B1" s="235"/>
      <c r="C1" s="235"/>
    </row>
    <row r="3" spans="1:9" ht="15" thickBot="1">
      <c r="A3" s="28" t="s">
        <v>102</v>
      </c>
      <c r="B3" s="28" t="s">
        <v>1803</v>
      </c>
      <c r="C3" s="28" t="s">
        <v>0</v>
      </c>
    </row>
    <row r="4" spans="1:9">
      <c r="A4" s="26" t="s">
        <v>99</v>
      </c>
      <c r="B4" s="27" t="b">
        <v>0</v>
      </c>
      <c r="C4" s="27" t="s">
        <v>1499</v>
      </c>
      <c r="E4" s="170"/>
      <c r="F4" s="171"/>
      <c r="G4" s="171"/>
      <c r="H4" s="171"/>
      <c r="I4" s="172"/>
    </row>
    <row r="5" spans="1:9">
      <c r="A5" s="26" t="s">
        <v>1497</v>
      </c>
      <c r="B5" s="27" t="b">
        <v>1</v>
      </c>
      <c r="C5" s="8" t="s">
        <v>1498</v>
      </c>
      <c r="E5" s="134"/>
      <c r="F5" s="135"/>
      <c r="G5" s="135"/>
      <c r="H5" s="135"/>
      <c r="I5" s="136"/>
    </row>
    <row r="6" spans="1:9">
      <c r="E6" s="134"/>
      <c r="F6" s="135"/>
      <c r="G6" s="135"/>
      <c r="H6" s="135"/>
      <c r="I6" s="136"/>
    </row>
    <row r="7" spans="1:9">
      <c r="B7" s="28" t="s">
        <v>100</v>
      </c>
      <c r="E7" s="134"/>
      <c r="F7" s="135"/>
      <c r="G7" s="135"/>
      <c r="H7" s="135"/>
      <c r="I7" s="136"/>
    </row>
    <row r="8" spans="1:9">
      <c r="A8" s="29" t="s">
        <v>103</v>
      </c>
      <c r="B8" s="30"/>
      <c r="C8" s="8" t="s">
        <v>5</v>
      </c>
      <c r="D8" s="31"/>
      <c r="E8" s="137"/>
      <c r="F8" s="135"/>
      <c r="G8" s="135"/>
      <c r="H8" s="135"/>
      <c r="I8" s="136"/>
    </row>
    <row r="9" spans="1:9">
      <c r="A9" s="29" t="s">
        <v>104</v>
      </c>
      <c r="B9" s="30" t="b">
        <v>0</v>
      </c>
      <c r="C9" s="8" t="s">
        <v>6</v>
      </c>
      <c r="E9" s="138"/>
      <c r="F9" s="135"/>
      <c r="G9" s="135"/>
      <c r="H9" s="135"/>
      <c r="I9" s="136"/>
    </row>
    <row r="10" spans="1:9">
      <c r="A10" s="29" t="s">
        <v>105</v>
      </c>
      <c r="B10" s="30" t="s">
        <v>1577</v>
      </c>
      <c r="C10" s="8" t="s">
        <v>7</v>
      </c>
      <c r="E10" s="134"/>
      <c r="F10" s="135"/>
      <c r="G10" s="135"/>
      <c r="H10" s="135"/>
      <c r="I10" s="136"/>
    </row>
    <row r="11" spans="1:9">
      <c r="A11" s="29" t="s">
        <v>106</v>
      </c>
      <c r="B11" s="30" t="s">
        <v>9</v>
      </c>
      <c r="C11" s="8" t="s">
        <v>8</v>
      </c>
      <c r="E11" s="134"/>
      <c r="F11" s="135"/>
      <c r="G11" s="135"/>
      <c r="H11" s="135"/>
      <c r="I11" s="136"/>
    </row>
    <row r="12" spans="1:9">
      <c r="A12" s="29" t="s">
        <v>1792</v>
      </c>
      <c r="B12" s="174">
        <v>32514</v>
      </c>
      <c r="C12" s="8" t="s">
        <v>1791</v>
      </c>
      <c r="E12" s="134"/>
      <c r="F12" s="135"/>
      <c r="G12" s="135"/>
      <c r="H12" s="135"/>
      <c r="I12" s="136"/>
    </row>
    <row r="13" spans="1:9">
      <c r="E13" s="134"/>
      <c r="F13" s="135"/>
      <c r="G13" s="135"/>
      <c r="H13" s="135"/>
      <c r="I13" s="136"/>
    </row>
    <row r="14" spans="1:9" ht="15" thickBot="1">
      <c r="B14" s="28" t="s">
        <v>1804</v>
      </c>
      <c r="E14" s="139"/>
      <c r="F14" s="140"/>
      <c r="G14" s="140"/>
      <c r="H14" s="140"/>
      <c r="I14" s="141"/>
    </row>
    <row r="15" spans="1:9">
      <c r="A15" s="29" t="s">
        <v>300</v>
      </c>
      <c r="B15" s="27" t="b">
        <v>1</v>
      </c>
      <c r="C15" s="8" t="s">
        <v>301</v>
      </c>
      <c r="H15" s="32"/>
    </row>
    <row r="16" spans="1:9">
      <c r="A16" s="29" t="s">
        <v>1761</v>
      </c>
      <c r="B16" s="27" t="s">
        <v>1762</v>
      </c>
      <c r="C16" s="8" t="s">
        <v>1763</v>
      </c>
      <c r="H16" s="32"/>
    </row>
    <row r="17" spans="1:8">
      <c r="C17" s="8"/>
      <c r="H17" s="32"/>
    </row>
    <row r="18" spans="1:8">
      <c r="B18" s="28" t="s">
        <v>1796</v>
      </c>
      <c r="H18" s="32"/>
    </row>
    <row r="19" spans="1:8">
      <c r="A19" s="237" t="s">
        <v>1801</v>
      </c>
      <c r="B19" s="237"/>
      <c r="C19" s="29"/>
      <c r="H19" s="32"/>
    </row>
    <row r="20" spans="1:8">
      <c r="A20" s="29" t="s">
        <v>1780</v>
      </c>
      <c r="B20" s="33" t="s">
        <v>2217</v>
      </c>
      <c r="C20" s="8" t="s">
        <v>1783</v>
      </c>
      <c r="H20" s="32"/>
    </row>
    <row r="21" spans="1:8">
      <c r="A21" s="29" t="s">
        <v>1773</v>
      </c>
      <c r="B21" s="33" t="s">
        <v>2217</v>
      </c>
      <c r="C21" s="8" t="s">
        <v>1777</v>
      </c>
      <c r="H21" s="32"/>
    </row>
    <row r="22" spans="1:8">
      <c r="A22" s="29" t="s">
        <v>1781</v>
      </c>
      <c r="B22" s="165">
        <v>43968.895069444443</v>
      </c>
      <c r="C22" s="8" t="s">
        <v>1778</v>
      </c>
      <c r="H22" s="32"/>
    </row>
    <row r="23" spans="1:8">
      <c r="A23" s="29" t="s">
        <v>1776</v>
      </c>
      <c r="B23" s="164">
        <v>43968.895069444443</v>
      </c>
      <c r="C23" s="8" t="s">
        <v>1779</v>
      </c>
      <c r="H23" s="32"/>
    </row>
    <row r="24" spans="1:8">
      <c r="H24" s="32"/>
    </row>
    <row r="25" spans="1:8">
      <c r="B25" s="28" t="s">
        <v>1800</v>
      </c>
      <c r="H25" s="32"/>
    </row>
    <row r="26" spans="1:8">
      <c r="A26" s="29" t="s">
        <v>1782</v>
      </c>
      <c r="B26" s="33" t="s">
        <v>2062</v>
      </c>
      <c r="C26" s="8" t="s">
        <v>17</v>
      </c>
      <c r="H26" s="32"/>
    </row>
    <row r="27" spans="1:8">
      <c r="A27" s="29" t="s">
        <v>1794</v>
      </c>
      <c r="B27" s="33" t="str">
        <f>IMPACT_VERSION_CURRENT</f>
        <v>2.0.0071</v>
      </c>
      <c r="C27" s="8" t="s">
        <v>1797</v>
      </c>
      <c r="H27" s="32"/>
    </row>
    <row r="28" spans="1:8">
      <c r="A28" s="29" t="s">
        <v>1793</v>
      </c>
      <c r="B28" s="165">
        <v>43968.895069444443</v>
      </c>
      <c r="C28" s="8" t="s">
        <v>1798</v>
      </c>
      <c r="H28" s="32"/>
    </row>
    <row r="29" spans="1:8">
      <c r="A29" s="29" t="s">
        <v>1795</v>
      </c>
      <c r="B29" s="164">
        <v>43968.895069444443</v>
      </c>
      <c r="C29" s="8" t="s">
        <v>1799</v>
      </c>
      <c r="H29" s="32"/>
    </row>
    <row r="30" spans="1:8">
      <c r="H30" s="32"/>
    </row>
    <row r="31" spans="1:8">
      <c r="B31" s="28" t="s">
        <v>1790</v>
      </c>
      <c r="E31"/>
      <c r="H31" s="32"/>
    </row>
    <row r="32" spans="1:8">
      <c r="A32" s="29" t="s">
        <v>122</v>
      </c>
      <c r="B32" s="33" t="s">
        <v>1774</v>
      </c>
      <c r="C32" s="8" t="s">
        <v>1775</v>
      </c>
      <c r="E32"/>
    </row>
    <row r="33" spans="1:5">
      <c r="A33" s="29" t="s">
        <v>123</v>
      </c>
      <c r="B33" s="33" t="s">
        <v>124</v>
      </c>
      <c r="C33" s="8" t="s">
        <v>126</v>
      </c>
      <c r="E33"/>
    </row>
    <row r="34" spans="1:5">
      <c r="A34" s="163" t="s">
        <v>1764</v>
      </c>
      <c r="B34" s="199" t="s">
        <v>2192</v>
      </c>
      <c r="C34" s="27" t="s">
        <v>1861</v>
      </c>
      <c r="E34"/>
    </row>
    <row r="35" spans="1:5">
      <c r="A35" s="29" t="s">
        <v>18</v>
      </c>
      <c r="B35" s="33" t="s">
        <v>125</v>
      </c>
      <c r="C35" s="8" t="s">
        <v>19</v>
      </c>
      <c r="E35" s="34"/>
    </row>
    <row r="37" spans="1:5">
      <c r="A37" s="29" t="s">
        <v>12</v>
      </c>
      <c r="B37" s="35" t="b">
        <v>0</v>
      </c>
      <c r="C37" s="36" t="s">
        <v>129</v>
      </c>
    </row>
    <row r="38" spans="1:5">
      <c r="A38" s="29" t="s">
        <v>136</v>
      </c>
      <c r="B38" s="35" t="b">
        <v>1</v>
      </c>
      <c r="C38" s="8" t="s">
        <v>1789</v>
      </c>
    </row>
    <row r="39" spans="1:5">
      <c r="C39" s="173"/>
    </row>
    <row r="40" spans="1:5">
      <c r="B40" s="28" t="s">
        <v>1817</v>
      </c>
    </row>
    <row r="41" spans="1:5">
      <c r="A41" s="29" t="s">
        <v>13</v>
      </c>
      <c r="B41" t="s">
        <v>2192</v>
      </c>
      <c r="C41" s="8" t="s">
        <v>1846</v>
      </c>
    </row>
    <row r="42" spans="1:5" ht="29">
      <c r="A42" s="29" t="s">
        <v>14</v>
      </c>
      <c r="B42" s="154" t="s">
        <v>2218</v>
      </c>
      <c r="C42" s="9" t="s">
        <v>1802</v>
      </c>
    </row>
    <row r="43" spans="1:5">
      <c r="A43" s="29" t="s">
        <v>21</v>
      </c>
      <c r="B43" s="154" t="s">
        <v>2219</v>
      </c>
      <c r="C43" s="8" t="s">
        <v>22</v>
      </c>
    </row>
    <row r="44" spans="1:5">
      <c r="A44" s="29" t="s">
        <v>27</v>
      </c>
      <c r="B44" s="37" t="s">
        <v>2274</v>
      </c>
      <c r="C44" s="8" t="s">
        <v>97</v>
      </c>
    </row>
    <row r="45" spans="1:5">
      <c r="A45" s="29" t="s">
        <v>88</v>
      </c>
      <c r="B45" s="37" t="s">
        <v>305</v>
      </c>
      <c r="C45" s="8" t="s">
        <v>98</v>
      </c>
    </row>
    <row r="46" spans="1:5">
      <c r="A46" s="29" t="s">
        <v>26</v>
      </c>
      <c r="B46" s="38">
        <v>5</v>
      </c>
      <c r="C46" s="8" t="s">
        <v>94</v>
      </c>
    </row>
    <row r="47" spans="1:5">
      <c r="A47" s="29" t="s">
        <v>28</v>
      </c>
      <c r="B47" s="37" t="s">
        <v>2275</v>
      </c>
      <c r="C47" s="8" t="s">
        <v>95</v>
      </c>
    </row>
    <row r="48" spans="1:5">
      <c r="A48" s="29" t="s">
        <v>29</v>
      </c>
      <c r="B48" s="37" t="s">
        <v>2220</v>
      </c>
      <c r="C48" s="8" t="s">
        <v>96</v>
      </c>
    </row>
    <row r="51" spans="1:2" ht="18.5">
      <c r="A51" s="236" t="s">
        <v>1772</v>
      </c>
      <c r="B51" s="236"/>
    </row>
    <row r="52" spans="1:2">
      <c r="A52" s="130" t="s">
        <v>290</v>
      </c>
      <c r="B52" s="130" t="s">
        <v>291</v>
      </c>
    </row>
    <row r="53" spans="1:2">
      <c r="A53" t="s">
        <v>292</v>
      </c>
      <c r="B53" t="s">
        <v>89</v>
      </c>
    </row>
    <row r="54" spans="1:2">
      <c r="A54" t="s">
        <v>293</v>
      </c>
      <c r="B54" t="s">
        <v>268</v>
      </c>
    </row>
    <row r="55" spans="1:2">
      <c r="A55" t="s">
        <v>294</v>
      </c>
      <c r="B55" t="s">
        <v>295</v>
      </c>
    </row>
    <row r="56" spans="1:2">
      <c r="A56" t="s">
        <v>296</v>
      </c>
      <c r="B56" t="s">
        <v>297</v>
      </c>
    </row>
    <row r="57" spans="1:2">
      <c r="A57" t="s">
        <v>298</v>
      </c>
      <c r="B57" t="s">
        <v>288</v>
      </c>
    </row>
    <row r="58" spans="1:2">
      <c r="A58" t="s">
        <v>299</v>
      </c>
      <c r="B58" t="s">
        <v>287</v>
      </c>
    </row>
  </sheetData>
  <mergeCells count="3">
    <mergeCell ref="A1:C1"/>
    <mergeCell ref="A51:B51"/>
    <mergeCell ref="A19:B19"/>
  </mergeCells>
  <hyperlinks>
    <hyperlink ref="B34" r:id="rId1" xr:uid="{43EF43DB-1BE6-4431-B647-06100217E89C}"/>
  </hyperlinks>
  <pageMargins left="0.7" right="0.7" top="0.75" bottom="0.75" header="0.3" footer="0.3"/>
  <pageSetup orientation="portrait" r:id="rId2"/>
  <drawing r:id="rId3"/>
  <legacyDrawing r:id="rId4"/>
  <controls>
    <mc:AlternateContent xmlns:mc="http://schemas.openxmlformats.org/markup-compatibility/2006">
      <mc:Choice Requires="x14">
        <control shapeId="2" r:id="rId5" name="Create_IMPACTData_Btn">
          <controlPr defaultSize="0" autoLine="0" r:id="rId6">
            <anchor moveWithCells="1">
              <from>
                <xdr:col>4</xdr:col>
                <xdr:colOff>241300</xdr:colOff>
                <xdr:row>7</xdr:row>
                <xdr:rowOff>76200</xdr:rowOff>
              </from>
              <to>
                <xdr:col>8</xdr:col>
                <xdr:colOff>228600</xdr:colOff>
                <xdr:row>9</xdr:row>
                <xdr:rowOff>171450</xdr:rowOff>
              </to>
            </anchor>
          </controlPr>
        </control>
      </mc:Choice>
      <mc:Fallback>
        <control shapeId="3077" r:id="rId5" name="Create_IMPACTData_Btn"/>
      </mc:Fallback>
    </mc:AlternateContent>
    <mc:AlternateContent xmlns:mc="http://schemas.openxmlformats.org/markup-compatibility/2006">
      <mc:Choice Requires="x14">
        <control shapeId="3" r:id="rId7" name="Create_IMPACT_Btn">
          <controlPr defaultSize="0" autoLine="0" r:id="rId8">
            <anchor moveWithCells="1">
              <from>
                <xdr:col>4</xdr:col>
                <xdr:colOff>228600</xdr:colOff>
                <xdr:row>4</xdr:row>
                <xdr:rowOff>0</xdr:rowOff>
              </from>
              <to>
                <xdr:col>8</xdr:col>
                <xdr:colOff>222250</xdr:colOff>
                <xdr:row>6</xdr:row>
                <xdr:rowOff>95250</xdr:rowOff>
              </to>
            </anchor>
          </controlPr>
        </control>
      </mc:Choice>
      <mc:Fallback>
        <control shapeId="3080" r:id="rId7" name="Create_IMPACT_Btn"/>
      </mc:Fallback>
    </mc:AlternateContent>
    <mc:AlternateContent xmlns:mc="http://schemas.openxmlformats.org/markup-compatibility/2006">
      <mc:Choice Requires="x14">
        <control shapeId="4" r:id="rId9" name="Import_ImpactDataTables">
          <controlPr defaultSize="0" autoLine="0" r:id="rId10">
            <anchor moveWithCells="1">
              <from>
                <xdr:col>4</xdr:col>
                <xdr:colOff>260350</xdr:colOff>
                <xdr:row>10</xdr:row>
                <xdr:rowOff>133350</xdr:rowOff>
              </from>
              <to>
                <xdr:col>8</xdr:col>
                <xdr:colOff>247650</xdr:colOff>
                <xdr:row>13</xdr:row>
                <xdr:rowOff>44450</xdr:rowOff>
              </to>
            </anchor>
          </controlPr>
        </control>
      </mc:Choice>
      <mc:Fallback>
        <control shapeId="3086" r:id="rId9" name="Import_ImpactDataTables"/>
      </mc:Fallback>
    </mc:AlternateContent>
  </controls>
  <tableParts count="1">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tabColor rgb="FFFFFF00"/>
  </sheetPr>
  <dimension ref="A1:D85"/>
  <sheetViews>
    <sheetView workbookViewId="0">
      <pane ySplit="12" topLeftCell="A68" activePane="bottomLeft" state="frozen"/>
      <selection pane="bottomLeft" activeCell="A85" sqref="A85"/>
    </sheetView>
  </sheetViews>
  <sheetFormatPr defaultColWidth="9.1796875" defaultRowHeight="14.5"/>
  <cols>
    <col min="1" max="1" width="28.453125" bestFit="1" customWidth="1"/>
    <col min="2" max="2" width="20.7265625" customWidth="1"/>
    <col min="3" max="3" width="25.7265625" customWidth="1"/>
    <col min="4" max="4" width="159.1796875" customWidth="1"/>
    <col min="5" max="5" width="23.1796875" customWidth="1"/>
    <col min="6" max="6" width="21.7265625" customWidth="1"/>
  </cols>
  <sheetData>
    <row r="1" spans="1:4" ht="26">
      <c r="D1" s="166" t="s">
        <v>23</v>
      </c>
    </row>
    <row r="2" spans="1:4" ht="26">
      <c r="D2" s="15" t="s">
        <v>86</v>
      </c>
    </row>
    <row r="4" spans="1:4">
      <c r="A4" s="156" t="s">
        <v>1784</v>
      </c>
      <c r="B4" s="157">
        <v>2</v>
      </c>
    </row>
    <row r="5" spans="1:4">
      <c r="A5" s="156" t="s">
        <v>1785</v>
      </c>
      <c r="B5" s="157">
        <v>0</v>
      </c>
    </row>
    <row r="6" spans="1:4">
      <c r="A6" s="156" t="s">
        <v>1786</v>
      </c>
      <c r="B6" s="158">
        <f>MAX(CHANGELOG_IMPACT[Revision Number])</f>
        <v>71</v>
      </c>
    </row>
    <row r="7" spans="1:4">
      <c r="A7" s="156" t="s">
        <v>1787</v>
      </c>
      <c r="B7" s="159" t="str">
        <f>B4&amp;"."&amp;B5&amp;"."&amp;TEXT(B6,"000#")</f>
        <v>2.0.0071</v>
      </c>
    </row>
    <row r="8" spans="1:4">
      <c r="A8" s="156" t="s">
        <v>1788</v>
      </c>
      <c r="B8" s="160"/>
    </row>
    <row r="12" spans="1:4">
      <c r="A12" t="s">
        <v>1805</v>
      </c>
      <c r="B12" t="s">
        <v>24</v>
      </c>
      <c r="C12" t="s">
        <v>1806</v>
      </c>
      <c r="D12" t="s">
        <v>25</v>
      </c>
    </row>
    <row r="13" spans="1:4">
      <c r="A13" s="176">
        <v>1</v>
      </c>
      <c r="B13" s="167">
        <v>43977</v>
      </c>
      <c r="C13" s="168" t="s">
        <v>1824</v>
      </c>
      <c r="D13" s="169" t="s">
        <v>1807</v>
      </c>
    </row>
    <row r="14" spans="1:4">
      <c r="A14" s="176">
        <v>2</v>
      </c>
      <c r="B14" s="167">
        <v>43978</v>
      </c>
      <c r="C14" s="168" t="s">
        <v>1824</v>
      </c>
      <c r="D14" s="168" t="s">
        <v>1808</v>
      </c>
    </row>
    <row r="15" spans="1:4">
      <c r="A15" s="176">
        <v>3</v>
      </c>
      <c r="B15" s="167">
        <v>43978</v>
      </c>
      <c r="C15" s="168" t="s">
        <v>1824</v>
      </c>
      <c r="D15" s="168" t="s">
        <v>1809</v>
      </c>
    </row>
    <row r="16" spans="1:4">
      <c r="A16" s="176">
        <v>4</v>
      </c>
      <c r="B16" s="167">
        <v>43979</v>
      </c>
      <c r="C16" s="168" t="s">
        <v>1824</v>
      </c>
      <c r="D16" s="168" t="s">
        <v>1810</v>
      </c>
    </row>
    <row r="17" spans="1:4">
      <c r="A17" s="176">
        <v>5</v>
      </c>
      <c r="B17" s="167">
        <v>43979</v>
      </c>
      <c r="C17" s="168" t="s">
        <v>1824</v>
      </c>
      <c r="D17" s="168" t="s">
        <v>1811</v>
      </c>
    </row>
    <row r="18" spans="1:4">
      <c r="A18" s="176">
        <v>6</v>
      </c>
      <c r="B18" s="167">
        <v>43979</v>
      </c>
      <c r="C18" s="168" t="s">
        <v>1824</v>
      </c>
      <c r="D18" s="168" t="s">
        <v>1813</v>
      </c>
    </row>
    <row r="19" spans="1:4">
      <c r="A19" s="176">
        <v>7</v>
      </c>
      <c r="B19" s="167">
        <v>43979</v>
      </c>
      <c r="C19" s="168" t="s">
        <v>1824</v>
      </c>
      <c r="D19" s="168" t="s">
        <v>1812</v>
      </c>
    </row>
    <row r="20" spans="1:4">
      <c r="A20" s="176">
        <v>8</v>
      </c>
      <c r="B20" s="167">
        <v>43979</v>
      </c>
      <c r="C20" s="168" t="s">
        <v>1824</v>
      </c>
      <c r="D20" s="168" t="s">
        <v>1814</v>
      </c>
    </row>
    <row r="21" spans="1:4">
      <c r="A21" s="176">
        <v>9</v>
      </c>
      <c r="B21" s="167">
        <v>43980</v>
      </c>
      <c r="C21" s="168" t="s">
        <v>1824</v>
      </c>
      <c r="D21" s="168" t="s">
        <v>1815</v>
      </c>
    </row>
    <row r="22" spans="1:4">
      <c r="A22" s="176">
        <v>10</v>
      </c>
      <c r="B22" s="167">
        <v>43980</v>
      </c>
      <c r="C22" s="168" t="s">
        <v>1824</v>
      </c>
      <c r="D22" s="168" t="s">
        <v>1816</v>
      </c>
    </row>
    <row r="23" spans="1:4">
      <c r="A23" s="176">
        <v>11</v>
      </c>
      <c r="B23" s="167">
        <v>43980</v>
      </c>
      <c r="C23" s="168" t="s">
        <v>1824</v>
      </c>
      <c r="D23" s="168" t="s">
        <v>1818</v>
      </c>
    </row>
    <row r="24" spans="1:4">
      <c r="A24" s="176">
        <v>12</v>
      </c>
      <c r="B24" s="167">
        <v>43980</v>
      </c>
      <c r="C24" s="168" t="s">
        <v>1824</v>
      </c>
      <c r="D24" s="168" t="s">
        <v>1819</v>
      </c>
    </row>
    <row r="25" spans="1:4" ht="29">
      <c r="A25" s="176">
        <v>13</v>
      </c>
      <c r="B25" s="167">
        <v>44099</v>
      </c>
      <c r="C25" s="168" t="s">
        <v>1820</v>
      </c>
      <c r="D25" s="175" t="s">
        <v>1821</v>
      </c>
    </row>
    <row r="26" spans="1:4">
      <c r="A26" s="176">
        <v>14</v>
      </c>
      <c r="B26" s="167">
        <v>44112</v>
      </c>
      <c r="C26" s="168" t="s">
        <v>1820</v>
      </c>
      <c r="D26" s="175" t="s">
        <v>1822</v>
      </c>
    </row>
    <row r="27" spans="1:4">
      <c r="A27" s="176">
        <v>15</v>
      </c>
      <c r="B27" s="167">
        <v>44248</v>
      </c>
      <c r="C27" s="168" t="s">
        <v>1824</v>
      </c>
      <c r="D27" s="169" t="s">
        <v>1823</v>
      </c>
    </row>
    <row r="28" spans="1:4">
      <c r="A28" s="176">
        <v>16</v>
      </c>
      <c r="B28" s="167">
        <v>44248</v>
      </c>
      <c r="C28" s="168" t="s">
        <v>1824</v>
      </c>
      <c r="D28" s="168" t="s">
        <v>1825</v>
      </c>
    </row>
    <row r="29" spans="1:4">
      <c r="A29" s="178">
        <v>17</v>
      </c>
      <c r="B29" s="179">
        <v>44251</v>
      </c>
      <c r="C29" s="168" t="s">
        <v>1824</v>
      </c>
      <c r="D29" s="168" t="s">
        <v>1826</v>
      </c>
    </row>
    <row r="30" spans="1:4">
      <c r="A30" s="178">
        <v>18</v>
      </c>
      <c r="B30" s="179">
        <v>44256</v>
      </c>
      <c r="C30" s="168" t="s">
        <v>1824</v>
      </c>
      <c r="D30" s="175" t="s">
        <v>1827</v>
      </c>
    </row>
    <row r="31" spans="1:4">
      <c r="A31" s="178">
        <v>19</v>
      </c>
      <c r="B31" s="179">
        <v>44256</v>
      </c>
      <c r="C31" s="168" t="s">
        <v>1824</v>
      </c>
      <c r="D31" s="168" t="s">
        <v>1829</v>
      </c>
    </row>
    <row r="32" spans="1:4">
      <c r="A32" s="178">
        <v>20</v>
      </c>
      <c r="B32" s="179">
        <v>44259</v>
      </c>
      <c r="C32" s="168" t="s">
        <v>1824</v>
      </c>
      <c r="D32" s="168" t="s">
        <v>1830</v>
      </c>
    </row>
    <row r="33" spans="1:4">
      <c r="A33" s="178">
        <v>21</v>
      </c>
      <c r="B33" s="179">
        <v>44262</v>
      </c>
      <c r="C33" s="168" t="s">
        <v>1824</v>
      </c>
      <c r="D33" s="168" t="s">
        <v>1831</v>
      </c>
    </row>
    <row r="34" spans="1:4">
      <c r="A34" s="178">
        <v>22</v>
      </c>
      <c r="B34" s="179">
        <v>44263</v>
      </c>
      <c r="C34" s="168" t="s">
        <v>1824</v>
      </c>
      <c r="D34" s="168" t="s">
        <v>1832</v>
      </c>
    </row>
    <row r="35" spans="1:4">
      <c r="A35" s="178">
        <v>23</v>
      </c>
      <c r="B35" s="179">
        <v>44270</v>
      </c>
      <c r="C35" s="168" t="s">
        <v>1824</v>
      </c>
      <c r="D35" s="168" t="s">
        <v>1833</v>
      </c>
    </row>
    <row r="36" spans="1:4">
      <c r="A36" s="180">
        <v>24</v>
      </c>
      <c r="B36" s="181">
        <v>44270</v>
      </c>
      <c r="C36" s="8" t="s">
        <v>1824</v>
      </c>
      <c r="D36" s="8" t="s">
        <v>1834</v>
      </c>
    </row>
    <row r="37" spans="1:4">
      <c r="A37" s="178">
        <v>25</v>
      </c>
      <c r="B37" s="179">
        <v>44271</v>
      </c>
      <c r="C37" s="168" t="s">
        <v>1824</v>
      </c>
      <c r="D37" s="168" t="s">
        <v>1835</v>
      </c>
    </row>
    <row r="38" spans="1:4">
      <c r="A38" s="178">
        <v>26</v>
      </c>
      <c r="B38" s="179">
        <v>44281</v>
      </c>
      <c r="C38" s="168" t="s">
        <v>1824</v>
      </c>
      <c r="D38" s="168" t="s">
        <v>1837</v>
      </c>
    </row>
    <row r="39" spans="1:4">
      <c r="A39" s="178">
        <v>27</v>
      </c>
      <c r="B39" s="179">
        <v>44281</v>
      </c>
      <c r="C39" s="168" t="s">
        <v>1824</v>
      </c>
      <c r="D39" s="168" t="s">
        <v>1836</v>
      </c>
    </row>
    <row r="40" spans="1:4">
      <c r="A40" s="178">
        <v>28</v>
      </c>
      <c r="B40" s="179">
        <v>44282</v>
      </c>
      <c r="C40" s="168" t="s">
        <v>1824</v>
      </c>
      <c r="D40" s="168" t="s">
        <v>1838</v>
      </c>
    </row>
    <row r="41" spans="1:4">
      <c r="A41" s="178">
        <v>29</v>
      </c>
      <c r="B41" s="179">
        <v>44282</v>
      </c>
      <c r="C41" s="168" t="s">
        <v>1824</v>
      </c>
      <c r="D41" s="168" t="s">
        <v>1839</v>
      </c>
    </row>
    <row r="42" spans="1:4">
      <c r="A42" s="178">
        <v>30</v>
      </c>
      <c r="B42" s="179">
        <v>44282</v>
      </c>
      <c r="C42" s="168" t="s">
        <v>1824</v>
      </c>
      <c r="D42" s="168" t="s">
        <v>1840</v>
      </c>
    </row>
    <row r="43" spans="1:4">
      <c r="A43" s="178">
        <v>31</v>
      </c>
      <c r="B43" s="179">
        <v>44282</v>
      </c>
      <c r="C43" s="168" t="s">
        <v>1824</v>
      </c>
      <c r="D43" s="168" t="s">
        <v>1841</v>
      </c>
    </row>
    <row r="44" spans="1:4">
      <c r="A44" s="178">
        <v>32</v>
      </c>
      <c r="B44" s="179">
        <v>44284</v>
      </c>
      <c r="C44" s="168" t="s">
        <v>1824</v>
      </c>
      <c r="D44" s="168" t="s">
        <v>1842</v>
      </c>
    </row>
    <row r="45" spans="1:4">
      <c r="A45" s="178">
        <v>33</v>
      </c>
      <c r="B45" s="179">
        <v>44284</v>
      </c>
      <c r="C45" s="168" t="s">
        <v>1824</v>
      </c>
      <c r="D45" s="168" t="s">
        <v>1843</v>
      </c>
    </row>
    <row r="46" spans="1:4">
      <c r="A46" s="178">
        <v>34</v>
      </c>
      <c r="B46" s="179">
        <v>44284</v>
      </c>
      <c r="C46" s="168" t="s">
        <v>1824</v>
      </c>
      <c r="D46" s="168" t="s">
        <v>1844</v>
      </c>
    </row>
    <row r="47" spans="1:4">
      <c r="A47" s="178">
        <v>35</v>
      </c>
      <c r="B47" s="179">
        <v>44284</v>
      </c>
      <c r="C47" s="168" t="s">
        <v>1824</v>
      </c>
      <c r="D47" s="168" t="s">
        <v>1845</v>
      </c>
    </row>
    <row r="48" spans="1:4">
      <c r="A48" s="178">
        <v>36</v>
      </c>
      <c r="B48" s="179">
        <v>44290</v>
      </c>
      <c r="C48" s="168" t="s">
        <v>1824</v>
      </c>
      <c r="D48" s="168" t="s">
        <v>1847</v>
      </c>
    </row>
    <row r="49" spans="1:4">
      <c r="A49" s="178">
        <v>37</v>
      </c>
      <c r="B49" s="179">
        <v>44301</v>
      </c>
      <c r="C49" s="168" t="s">
        <v>1824</v>
      </c>
      <c r="D49" s="168" t="s">
        <v>1848</v>
      </c>
    </row>
    <row r="50" spans="1:4">
      <c r="A50" s="178">
        <v>38</v>
      </c>
      <c r="B50" s="179">
        <v>44301</v>
      </c>
      <c r="C50" s="168" t="s">
        <v>1824</v>
      </c>
      <c r="D50" s="168" t="s">
        <v>1849</v>
      </c>
    </row>
    <row r="51" spans="1:4">
      <c r="A51" s="178">
        <v>39</v>
      </c>
      <c r="B51" s="179">
        <v>44303</v>
      </c>
      <c r="C51" s="168" t="s">
        <v>1824</v>
      </c>
      <c r="D51" s="168" t="s">
        <v>1850</v>
      </c>
    </row>
    <row r="52" spans="1:4">
      <c r="A52" s="178">
        <v>40</v>
      </c>
      <c r="B52" s="179">
        <v>44304</v>
      </c>
      <c r="C52" s="168" t="s">
        <v>1824</v>
      </c>
      <c r="D52" s="175" t="s">
        <v>1852</v>
      </c>
    </row>
    <row r="53" spans="1:4" ht="29">
      <c r="A53" s="178">
        <v>40</v>
      </c>
      <c r="B53" s="179">
        <v>44304</v>
      </c>
      <c r="C53" s="168" t="s">
        <v>1824</v>
      </c>
      <c r="D53" s="175" t="s">
        <v>1853</v>
      </c>
    </row>
    <row r="54" spans="1:4">
      <c r="A54" s="178">
        <v>40</v>
      </c>
      <c r="B54" s="179">
        <v>44304</v>
      </c>
      <c r="C54" s="168" t="s">
        <v>1824</v>
      </c>
      <c r="D54" s="168" t="s">
        <v>1851</v>
      </c>
    </row>
    <row r="55" spans="1:4">
      <c r="A55" s="178">
        <v>41</v>
      </c>
      <c r="B55" s="179">
        <v>44304</v>
      </c>
      <c r="C55" s="168" t="s">
        <v>1824</v>
      </c>
      <c r="D55" s="168" t="s">
        <v>1854</v>
      </c>
    </row>
    <row r="56" spans="1:4">
      <c r="A56" s="178">
        <v>42</v>
      </c>
      <c r="B56" s="179">
        <v>44304</v>
      </c>
      <c r="C56" s="168" t="s">
        <v>1824</v>
      </c>
      <c r="D56" s="168" t="s">
        <v>1855</v>
      </c>
    </row>
    <row r="57" spans="1:4">
      <c r="A57" s="178">
        <v>43</v>
      </c>
      <c r="B57" s="179">
        <v>44304</v>
      </c>
      <c r="C57" s="168" t="s">
        <v>1824</v>
      </c>
      <c r="D57" s="168" t="s">
        <v>1856</v>
      </c>
    </row>
    <row r="58" spans="1:4">
      <c r="A58" s="178">
        <v>44</v>
      </c>
      <c r="B58" s="179">
        <v>44305</v>
      </c>
      <c r="C58" s="168" t="s">
        <v>1824</v>
      </c>
      <c r="D58" s="168" t="s">
        <v>1859</v>
      </c>
    </row>
    <row r="59" spans="1:4">
      <c r="A59" s="178">
        <v>45</v>
      </c>
      <c r="B59" s="179">
        <v>44328</v>
      </c>
      <c r="C59" s="168" t="s">
        <v>1824</v>
      </c>
      <c r="D59" s="168" t="s">
        <v>1860</v>
      </c>
    </row>
    <row r="60" spans="1:4">
      <c r="A60" s="178">
        <v>46</v>
      </c>
      <c r="B60" s="179">
        <v>44328</v>
      </c>
      <c r="C60" s="168" t="s">
        <v>1824</v>
      </c>
      <c r="D60" s="168" t="s">
        <v>1862</v>
      </c>
    </row>
    <row r="61" spans="1:4">
      <c r="A61" s="178">
        <v>47</v>
      </c>
      <c r="B61" s="179">
        <v>44328</v>
      </c>
      <c r="C61" s="168" t="s">
        <v>1824</v>
      </c>
      <c r="D61" s="168" t="s">
        <v>1863</v>
      </c>
    </row>
    <row r="62" spans="1:4">
      <c r="A62" s="178">
        <v>48</v>
      </c>
      <c r="B62" s="179">
        <v>44329</v>
      </c>
      <c r="C62" s="168" t="s">
        <v>1824</v>
      </c>
      <c r="D62" s="168" t="s">
        <v>1864</v>
      </c>
    </row>
    <row r="63" spans="1:4">
      <c r="A63" s="178">
        <v>49</v>
      </c>
      <c r="B63" s="179">
        <v>44329</v>
      </c>
      <c r="C63" s="168" t="s">
        <v>1824</v>
      </c>
      <c r="D63" s="168" t="s">
        <v>1865</v>
      </c>
    </row>
    <row r="64" spans="1:4">
      <c r="A64" s="178">
        <v>50</v>
      </c>
      <c r="B64" s="179">
        <v>44329</v>
      </c>
      <c r="C64" s="168" t="s">
        <v>1824</v>
      </c>
      <c r="D64" s="168" t="s">
        <v>1866</v>
      </c>
    </row>
    <row r="65" spans="1:4">
      <c r="A65" s="178">
        <v>51</v>
      </c>
      <c r="B65" s="179">
        <v>44329</v>
      </c>
      <c r="C65" s="168" t="s">
        <v>1824</v>
      </c>
      <c r="D65" s="168" t="s">
        <v>1866</v>
      </c>
    </row>
    <row r="66" spans="1:4">
      <c r="A66" s="178">
        <v>52</v>
      </c>
      <c r="B66" s="179">
        <v>44329</v>
      </c>
      <c r="C66" s="168" t="s">
        <v>1824</v>
      </c>
      <c r="D66" s="168" t="s">
        <v>1867</v>
      </c>
    </row>
    <row r="67" spans="1:4">
      <c r="A67" s="178">
        <v>53</v>
      </c>
      <c r="B67" s="179">
        <v>44329</v>
      </c>
      <c r="C67" s="168" t="s">
        <v>1824</v>
      </c>
      <c r="D67" s="168" t="s">
        <v>1870</v>
      </c>
    </row>
    <row r="68" spans="1:4">
      <c r="A68" s="178">
        <v>54</v>
      </c>
      <c r="B68" s="179">
        <v>44332</v>
      </c>
      <c r="C68" s="168" t="s">
        <v>1824</v>
      </c>
      <c r="D68" s="168" t="s">
        <v>1872</v>
      </c>
    </row>
    <row r="69" spans="1:4">
      <c r="A69" s="178">
        <v>55</v>
      </c>
      <c r="B69" s="179">
        <v>44332</v>
      </c>
      <c r="C69" s="168" t="s">
        <v>1824</v>
      </c>
      <c r="D69" s="168" t="s">
        <v>1871</v>
      </c>
    </row>
    <row r="70" spans="1:4">
      <c r="A70" s="178">
        <v>56</v>
      </c>
      <c r="B70" s="179">
        <v>44333</v>
      </c>
      <c r="C70" s="168" t="s">
        <v>1824</v>
      </c>
      <c r="D70" s="168" t="s">
        <v>1873</v>
      </c>
    </row>
    <row r="71" spans="1:4">
      <c r="A71" s="178">
        <v>57</v>
      </c>
      <c r="B71" s="179">
        <v>44333</v>
      </c>
      <c r="C71" s="168" t="s">
        <v>1824</v>
      </c>
      <c r="D71" s="168" t="s">
        <v>1874</v>
      </c>
    </row>
    <row r="72" spans="1:4">
      <c r="A72" s="178">
        <v>58</v>
      </c>
      <c r="B72" s="179">
        <v>44333</v>
      </c>
      <c r="C72" s="168" t="s">
        <v>1824</v>
      </c>
      <c r="D72" s="168" t="s">
        <v>1875</v>
      </c>
    </row>
    <row r="73" spans="1:4">
      <c r="A73" s="178">
        <v>59</v>
      </c>
      <c r="B73" s="179">
        <v>44333</v>
      </c>
      <c r="C73" s="168" t="s">
        <v>1824</v>
      </c>
      <c r="D73" s="168" t="s">
        <v>1876</v>
      </c>
    </row>
    <row r="74" spans="1:4">
      <c r="A74" s="178">
        <v>60</v>
      </c>
      <c r="B74" s="179">
        <v>44333</v>
      </c>
      <c r="C74" s="168" t="s">
        <v>1824</v>
      </c>
      <c r="D74" s="168" t="s">
        <v>1877</v>
      </c>
    </row>
    <row r="75" spans="1:4">
      <c r="A75" s="178">
        <v>61</v>
      </c>
      <c r="B75" s="179">
        <v>44333</v>
      </c>
      <c r="C75" s="168" t="s">
        <v>1824</v>
      </c>
      <c r="D75" s="168" t="s">
        <v>1878</v>
      </c>
    </row>
    <row r="76" spans="1:4">
      <c r="A76" s="178">
        <v>62</v>
      </c>
      <c r="B76" s="179">
        <v>44333</v>
      </c>
      <c r="C76" s="168" t="s">
        <v>1824</v>
      </c>
      <c r="D76" s="168" t="s">
        <v>1879</v>
      </c>
    </row>
    <row r="77" spans="1:4">
      <c r="A77" s="178">
        <v>63</v>
      </c>
      <c r="B77" s="179">
        <v>44333</v>
      </c>
      <c r="C77" s="168" t="s">
        <v>1824</v>
      </c>
      <c r="D77" s="168" t="s">
        <v>1880</v>
      </c>
    </row>
    <row r="78" spans="1:4">
      <c r="A78" s="178">
        <v>64</v>
      </c>
      <c r="B78" s="179">
        <v>44336</v>
      </c>
      <c r="C78" s="168" t="s">
        <v>1824</v>
      </c>
      <c r="D78" s="168" t="s">
        <v>1881</v>
      </c>
    </row>
    <row r="79" spans="1:4">
      <c r="A79" s="178">
        <v>65</v>
      </c>
      <c r="B79" s="179">
        <v>44336</v>
      </c>
      <c r="C79" s="168" t="s">
        <v>1824</v>
      </c>
      <c r="D79" s="168" t="s">
        <v>1882</v>
      </c>
    </row>
    <row r="80" spans="1:4">
      <c r="A80" s="178">
        <v>66</v>
      </c>
      <c r="B80" s="179">
        <v>44336</v>
      </c>
      <c r="C80" s="168" t="s">
        <v>1824</v>
      </c>
      <c r="D80" s="168" t="s">
        <v>1883</v>
      </c>
    </row>
    <row r="81" spans="1:4">
      <c r="A81" s="178">
        <v>67</v>
      </c>
      <c r="B81" s="179">
        <v>44336</v>
      </c>
      <c r="C81" s="168" t="s">
        <v>1824</v>
      </c>
      <c r="D81" s="168" t="s">
        <v>1884</v>
      </c>
    </row>
    <row r="82" spans="1:4">
      <c r="A82" s="178">
        <v>68</v>
      </c>
      <c r="B82" s="179">
        <v>44336</v>
      </c>
      <c r="C82" s="168" t="s">
        <v>1824</v>
      </c>
      <c r="D82" s="168" t="s">
        <v>1885</v>
      </c>
    </row>
    <row r="83" spans="1:4">
      <c r="A83" s="178">
        <v>69</v>
      </c>
      <c r="B83" s="179">
        <v>44336</v>
      </c>
      <c r="C83" s="168" t="s">
        <v>1824</v>
      </c>
      <c r="D83" s="168" t="s">
        <v>1886</v>
      </c>
    </row>
    <row r="84" spans="1:4">
      <c r="A84" s="178">
        <v>70</v>
      </c>
      <c r="B84" s="179">
        <v>44337</v>
      </c>
      <c r="C84" s="168" t="s">
        <v>1824</v>
      </c>
      <c r="D84" s="168" t="s">
        <v>1887</v>
      </c>
    </row>
    <row r="85" spans="1:4">
      <c r="A85" s="178">
        <v>71</v>
      </c>
      <c r="B85" s="179">
        <v>44337</v>
      </c>
      <c r="C85" s="168" t="s">
        <v>1824</v>
      </c>
      <c r="D85" s="168" t="s">
        <v>1888</v>
      </c>
    </row>
  </sheetData>
  <pageMargins left="0.7" right="0.7" top="0.75" bottom="0.75" header="0.3" footer="0.3"/>
  <legacy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FFFF00"/>
  </sheetPr>
  <dimension ref="A1:D14"/>
  <sheetViews>
    <sheetView workbookViewId="0">
      <pane ySplit="12" topLeftCell="A13" activePane="bottomLeft" state="frozen"/>
      <selection pane="bottomLeft" activeCell="C21" sqref="C21"/>
    </sheetView>
  </sheetViews>
  <sheetFormatPr defaultColWidth="9.1796875" defaultRowHeight="14.5"/>
  <cols>
    <col min="1" max="1" width="28.26953125" customWidth="1"/>
    <col min="2" max="3" width="25.7265625" customWidth="1"/>
    <col min="4" max="4" width="145.7265625" customWidth="1"/>
    <col min="5" max="5" width="10.453125" customWidth="1"/>
  </cols>
  <sheetData>
    <row r="1" spans="1:4" ht="26">
      <c r="A1" s="155"/>
      <c r="D1" s="166" t="s">
        <v>23</v>
      </c>
    </row>
    <row r="2" spans="1:4" ht="26">
      <c r="D2" s="15" t="s">
        <v>1828</v>
      </c>
    </row>
    <row r="4" spans="1:4">
      <c r="A4" s="156" t="s">
        <v>1765</v>
      </c>
      <c r="B4" s="157">
        <v>2</v>
      </c>
    </row>
    <row r="5" spans="1:4">
      <c r="A5" s="156" t="s">
        <v>1766</v>
      </c>
      <c r="B5" s="157">
        <v>0</v>
      </c>
    </row>
    <row r="6" spans="1:4">
      <c r="A6" s="156" t="s">
        <v>1767</v>
      </c>
      <c r="B6" s="158">
        <f>MAX(CHANGELOG_IMPACTDATA[Revision Number])</f>
        <v>21</v>
      </c>
    </row>
    <row r="7" spans="1:4">
      <c r="A7" s="156" t="s">
        <v>1768</v>
      </c>
      <c r="B7" s="159" t="str">
        <f>B4&amp;"."&amp;B5&amp;"."&amp;TEXT(B6,"000#")</f>
        <v>2.0.0021</v>
      </c>
    </row>
    <row r="8" spans="1:4">
      <c r="A8" s="156" t="s">
        <v>1769</v>
      </c>
      <c r="B8" s="160"/>
    </row>
    <row r="9" spans="1:4">
      <c r="A9" s="156" t="s">
        <v>1770</v>
      </c>
      <c r="B9" s="161" t="b">
        <v>0</v>
      </c>
    </row>
    <row r="12" spans="1:4">
      <c r="A12" t="s">
        <v>1805</v>
      </c>
      <c r="B12" t="s">
        <v>24</v>
      </c>
      <c r="C12" t="s">
        <v>1806</v>
      </c>
      <c r="D12" t="s">
        <v>25</v>
      </c>
    </row>
    <row r="13" spans="1:4">
      <c r="A13" s="177">
        <v>1</v>
      </c>
      <c r="B13" s="155">
        <v>44305</v>
      </c>
      <c r="C13" t="s">
        <v>1824</v>
      </c>
      <c r="D13" t="s">
        <v>1858</v>
      </c>
    </row>
    <row r="14" spans="1:4">
      <c r="A14" s="198">
        <v>21</v>
      </c>
      <c r="B14" s="155">
        <v>44337</v>
      </c>
      <c r="C14" t="s">
        <v>2061</v>
      </c>
      <c r="D14" t="s">
        <v>1858</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89</vt:i4>
      </vt:variant>
    </vt:vector>
  </HeadingPairs>
  <TitlesOfParts>
    <vt:vector size="101" baseType="lpstr">
      <vt:lpstr>Summary</vt:lpstr>
      <vt:lpstr>IMPACT BOM</vt:lpstr>
      <vt:lpstr>DataMap</vt:lpstr>
      <vt:lpstr>CALCULATIONS</vt:lpstr>
      <vt:lpstr>DEVICE UTILITY TBL</vt:lpstr>
      <vt:lpstr>BASE PARTS TBL</vt:lpstr>
      <vt:lpstr>MARGINS TBL</vt:lpstr>
      <vt:lpstr>MATERIAL TBL</vt:lpstr>
      <vt:lpstr>FINISH TBL</vt:lpstr>
      <vt:lpstr>PART TYPE TBL</vt:lpstr>
      <vt:lpstr>IMPACT Change Log</vt:lpstr>
      <vt:lpstr>ImpactData Change Log</vt:lpstr>
      <vt:lpstr>_5_17_2020_9_28_54_PM</vt:lpstr>
      <vt:lpstr>ACTION_TYPE</vt:lpstr>
      <vt:lpstr>assembly_labor</vt:lpstr>
      <vt:lpstr>base_part_list</vt:lpstr>
      <vt:lpstr>base_part_margin</vt:lpstr>
      <vt:lpstr>BASE_PART_NUMBER</vt:lpstr>
      <vt:lpstr>BASE_PART_POSITION</vt:lpstr>
      <vt:lpstr>BD_CALC_VALUE</vt:lpstr>
      <vt:lpstr>BETA_FLAG</vt:lpstr>
      <vt:lpstr>CNC_cost_per_hour</vt:lpstr>
      <vt:lpstr>CNC_PER_INSTANCE</vt:lpstr>
      <vt:lpstr>CONTACT</vt:lpstr>
      <vt:lpstr>DEVELOPMENT_MODE</vt:lpstr>
      <vt:lpstr>device_quantity</vt:lpstr>
      <vt:lpstr>DEVICE_REF_ID</vt:lpstr>
      <vt:lpstr>DEVICE_TYPE</vt:lpstr>
      <vt:lpstr>Deviceutilitychanges_FLAG</vt:lpstr>
      <vt:lpstr>DISCOUNT</vt:lpstr>
      <vt:lpstr>ENABLE_STARTUPOPTIONS</vt:lpstr>
      <vt:lpstr>engineering_labor</vt:lpstr>
      <vt:lpstr>FIELD_VALUE</vt:lpstr>
      <vt:lpstr>FINISH_AREA</vt:lpstr>
      <vt:lpstr>finish_cost</vt:lpstr>
      <vt:lpstr>FULL_PART_NUMBER</vt:lpstr>
      <vt:lpstr>GL_REGISTRATION_CODE</vt:lpstr>
      <vt:lpstr>GLWEBSITE</vt:lpstr>
      <vt:lpstr>HARDWARE_FLAG</vt:lpstr>
      <vt:lpstr>hardware_list</vt:lpstr>
      <vt:lpstr>HD_CALC_VALUE</vt:lpstr>
      <vt:lpstr>IMPACT_INSTALL_FLAG</vt:lpstr>
      <vt:lpstr>IMPACT_INSTALL_PATH</vt:lpstr>
      <vt:lpstr>IMPACT_Major_Version</vt:lpstr>
      <vt:lpstr>IMPACT_Minor_Version</vt:lpstr>
      <vt:lpstr>IMPACT_ModifiedDate</vt:lpstr>
      <vt:lpstr>IMPACT_ModifiedDate_CURRENT</vt:lpstr>
      <vt:lpstr>IMPACT_ModifiedDate_LATEST</vt:lpstr>
      <vt:lpstr>IMPACT_PARAMETERS</vt:lpstr>
      <vt:lpstr>IMPACT_REMOTE_PATH</vt:lpstr>
      <vt:lpstr>IMPACT_Revision_Number</vt:lpstr>
      <vt:lpstr>IMPACT_STANDARD_FULLNAME</vt:lpstr>
      <vt:lpstr>IMPACT_STANDARD_NAME</vt:lpstr>
      <vt:lpstr>IMPACT_STANDARD_PATH</vt:lpstr>
      <vt:lpstr>IMPACT_USERCOPY_FULLNAME</vt:lpstr>
      <vt:lpstr>IMPACT_USERCOPY_NAME</vt:lpstr>
      <vt:lpstr>IMPACT_Version</vt:lpstr>
      <vt:lpstr>IMPACT_VERSION_CURRENT</vt:lpstr>
      <vt:lpstr>IMPACT_VERSION_LATEST</vt:lpstr>
      <vt:lpstr>ImpactData_Major_Version</vt:lpstr>
      <vt:lpstr>ImpactData_Minor_Version</vt:lpstr>
      <vt:lpstr>ImpactData_ModifiedDate</vt:lpstr>
      <vt:lpstr>ImpactData_ModifiedDate_CURRENT</vt:lpstr>
      <vt:lpstr>ImpactData_ModifiedDate_LATEST</vt:lpstr>
      <vt:lpstr>ImpactData_Revision_Number</vt:lpstr>
      <vt:lpstr>ImpactData_Version</vt:lpstr>
      <vt:lpstr>IMPACTDATA_VERSION_CURRENT</vt:lpstr>
      <vt:lpstr>IMPACTDATA_VERSION_LATEST</vt:lpstr>
      <vt:lpstr>IN_SCOPE</vt:lpstr>
      <vt:lpstr>LA_CALC_VALUE</vt:lpstr>
      <vt:lpstr>LE_CALC_VALUE</vt:lpstr>
      <vt:lpstr>LOCATION_FLAG</vt:lpstr>
      <vt:lpstr>LP_CALC_VALUE</vt:lpstr>
      <vt:lpstr>MATERIAL_AREA</vt:lpstr>
      <vt:lpstr>material_cost</vt:lpstr>
      <vt:lpstr>MATERIAL_TYPE</vt:lpstr>
      <vt:lpstr>MODIFY_REFERENCE_ID</vt:lpstr>
      <vt:lpstr>NEXT_REFERENCE_ID</vt:lpstr>
      <vt:lpstr>NEXT_REFERENCE_NO</vt:lpstr>
      <vt:lpstr>PART_COST</vt:lpstr>
      <vt:lpstr>PART_FIRST_CHAR</vt:lpstr>
      <vt:lpstr>PART_LENGTH</vt:lpstr>
      <vt:lpstr>PART_PRICE</vt:lpstr>
      <vt:lpstr>PART_QUANTITY</vt:lpstr>
      <vt:lpstr>PART_ROW</vt:lpstr>
      <vt:lpstr>PART_TYPE</vt:lpstr>
      <vt:lpstr>'IMPACT BOM'!Print_Area</vt:lpstr>
      <vt:lpstr>programming_labor</vt:lpstr>
      <vt:lpstr>REFERENCE_ID</vt:lpstr>
      <vt:lpstr>REGISTERED_FLAG</vt:lpstr>
      <vt:lpstr>SALESEMAIL</vt:lpstr>
      <vt:lpstr>SAVECONTACT</vt:lpstr>
      <vt:lpstr>SD_CALC_VALUE</vt:lpstr>
      <vt:lpstr>SD_COST_VALUE</vt:lpstr>
      <vt:lpstr>shop_cost_per_hour</vt:lpstr>
      <vt:lpstr>SHOP_PER_INSTANCE</vt:lpstr>
      <vt:lpstr>SHOP_PER_ITEM</vt:lpstr>
      <vt:lpstr>ST_CALC_VALUE</vt:lpstr>
      <vt:lpstr>TABLE_FIELD</vt:lpstr>
      <vt:lpstr>WJ_cost_per_hour</vt:lpstr>
      <vt:lpstr>WJ_PER_INSTANCE</vt:lpstr>
    </vt:vector>
  </TitlesOfParts>
  <Company>NCC Automated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Glide-Line IMPACT Application</dc:title>
  <dc:creator>ExcelatOne LLC - Tony Cerrone</dc:creator>
  <cp:lastModifiedBy>Eldin Miller-Stead</cp:lastModifiedBy>
  <cp:lastPrinted>2015-06-02T01:21:13Z</cp:lastPrinted>
  <dcterms:created xsi:type="dcterms:W3CDTF">2012-09-04T15:52:34Z</dcterms:created>
  <dcterms:modified xsi:type="dcterms:W3CDTF">2025-04-11T20:36:56Z</dcterms:modified>
  <cp:version>2.0.0071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linkTarget="IMPACT_VERSION_NO">
    <vt:lpwstr>1.0.3008</vt:lpwstr>
  </property>
</Properties>
</file>